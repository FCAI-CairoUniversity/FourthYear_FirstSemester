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Yousra\Downloads\"/>
    </mc:Choice>
  </mc:AlternateContent>
  <xr:revisionPtr revIDLastSave="0" documentId="13_ncr:1_{6891F024-C32C-4EBB-940C-ABBFC6F30D29}" xr6:coauthVersionLast="47" xr6:coauthVersionMax="47" xr10:uidLastSave="{00000000-0000-0000-0000-000000000000}"/>
  <bookViews>
    <workbookView xWindow="-110" yWindow="-110" windowWidth="19420" windowHeight="10300" firstSheet="2" activeTab="6" xr2:uid="{00000000-000D-0000-FFFF-FFFF00000000}"/>
  </bookViews>
  <sheets>
    <sheet name="Part1 (Raw)" sheetId="8" r:id="rId1"/>
    <sheet name="Part1 (Solved)" sheetId="9" r:id="rId2"/>
    <sheet name="Part2 (Solved)" sheetId="7" r:id="rId3"/>
    <sheet name="Part3 (Solved)" sheetId="12" r:id="rId4"/>
    <sheet name="Part4 (Solved)" sheetId="13" r:id="rId5"/>
    <sheet name="Lab Task" sheetId="14" r:id="rId6"/>
    <sheet name="Lab Task (Solved)" sheetId="15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" i="12" l="1"/>
  <c r="B15" i="12"/>
  <c r="C14" i="12"/>
  <c r="C16" i="12" s="1"/>
  <c r="B14" i="12"/>
  <c r="B16" i="12" s="1"/>
  <c r="C13" i="12"/>
  <c r="B13" i="12"/>
  <c r="J11" i="12"/>
  <c r="H11" i="12"/>
  <c r="G11" i="12"/>
  <c r="F11" i="12"/>
  <c r="E11" i="12"/>
  <c r="D11" i="12"/>
  <c r="J10" i="12"/>
  <c r="H10" i="12"/>
  <c r="G10" i="12"/>
  <c r="F10" i="12"/>
  <c r="E10" i="12"/>
  <c r="D10" i="12"/>
  <c r="J9" i="12"/>
  <c r="H9" i="12"/>
  <c r="G9" i="12"/>
  <c r="F9" i="12"/>
  <c r="E9" i="12"/>
  <c r="D9" i="12"/>
  <c r="J8" i="12"/>
  <c r="H8" i="12"/>
  <c r="G8" i="12"/>
  <c r="F8" i="12"/>
  <c r="E8" i="12"/>
  <c r="D8" i="12"/>
  <c r="J7" i="12"/>
  <c r="H7" i="12"/>
  <c r="G7" i="12"/>
  <c r="F7" i="12"/>
  <c r="E7" i="12"/>
  <c r="D7" i="12"/>
  <c r="J6" i="12"/>
  <c r="H6" i="12"/>
  <c r="G6" i="12"/>
  <c r="F6" i="12"/>
  <c r="E6" i="12"/>
  <c r="D6" i="12"/>
  <c r="J5" i="12"/>
  <c r="H5" i="12"/>
  <c r="G5" i="12"/>
  <c r="F5" i="12"/>
  <c r="E5" i="12"/>
  <c r="D5" i="12"/>
  <c r="J4" i="12"/>
  <c r="H4" i="12"/>
  <c r="G4" i="12"/>
  <c r="F4" i="12"/>
  <c r="F14" i="12" s="1"/>
  <c r="E4" i="12"/>
  <c r="E14" i="12" s="1"/>
  <c r="D4" i="12"/>
  <c r="D14" i="12" s="1"/>
  <c r="J3" i="12"/>
  <c r="H3" i="12"/>
  <c r="G3" i="12"/>
  <c r="F3" i="12"/>
  <c r="E3" i="12"/>
  <c r="D3" i="12"/>
  <c r="D13" i="12" s="1"/>
  <c r="J2" i="12"/>
  <c r="B17" i="12" s="1"/>
  <c r="H2" i="12"/>
  <c r="H15" i="12" s="1"/>
  <c r="G2" i="12"/>
  <c r="G14" i="12" s="1"/>
  <c r="F2" i="12"/>
  <c r="F13" i="12" s="1"/>
  <c r="E2" i="12"/>
  <c r="E13" i="12" s="1"/>
  <c r="D2" i="12"/>
  <c r="E5" i="15"/>
  <c r="E4" i="15"/>
  <c r="E3" i="15"/>
  <c r="C7" i="13"/>
  <c r="C16" i="13"/>
  <c r="C15" i="13"/>
  <c r="C14" i="13"/>
  <c r="C13" i="13"/>
  <c r="C12" i="13"/>
  <c r="C11" i="13"/>
  <c r="C10" i="13"/>
  <c r="F9" i="13"/>
  <c r="C9" i="13"/>
  <c r="F8" i="13"/>
  <c r="C8" i="13"/>
  <c r="F6" i="7"/>
  <c r="E6" i="7"/>
  <c r="D6" i="7"/>
  <c r="C6" i="7"/>
  <c r="F5" i="7"/>
  <c r="E5" i="7"/>
  <c r="D5" i="7"/>
  <c r="C5" i="7"/>
  <c r="F4" i="7"/>
  <c r="E4" i="7"/>
  <c r="D4" i="7"/>
  <c r="C4" i="7"/>
  <c r="F3" i="7"/>
  <c r="E3" i="7"/>
  <c r="D3" i="7"/>
  <c r="C3" i="7"/>
  <c r="B6" i="7"/>
  <c r="B5" i="7"/>
  <c r="B4" i="7"/>
  <c r="B3" i="7"/>
  <c r="F2" i="7"/>
  <c r="E2" i="7"/>
  <c r="D2" i="7"/>
  <c r="C2" i="7"/>
  <c r="B2" i="7"/>
  <c r="F16" i="12" l="1"/>
  <c r="D15" i="12"/>
  <c r="D16" i="12" s="1"/>
  <c r="E15" i="12"/>
  <c r="E16" i="12" s="1"/>
  <c r="G13" i="12"/>
  <c r="H14" i="12"/>
  <c r="H16" i="12" s="1"/>
  <c r="H13" i="12"/>
  <c r="F15" i="12"/>
  <c r="G15" i="12"/>
  <c r="G16" i="12" s="1"/>
</calcChain>
</file>

<file path=xl/sharedStrings.xml><?xml version="1.0" encoding="utf-8"?>
<sst xmlns="http://schemas.openxmlformats.org/spreadsheetml/2006/main" count="94" uniqueCount="57">
  <si>
    <t>Company</t>
  </si>
  <si>
    <t>Dell</t>
  </si>
  <si>
    <t>HP</t>
  </si>
  <si>
    <t>Toshiba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</si>
  <si>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</si>
  <si>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</si>
  <si>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</si>
  <si>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</si>
  <si>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</si>
  <si>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</si>
  <si>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</si>
  <si>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</si>
  <si>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</si>
  <si>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</si>
  <si>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</si>
  <si>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</si>
  <si>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conclusion</t>
  </si>
  <si>
    <t>dell</t>
  </si>
  <si>
    <t>number 1</t>
  </si>
  <si>
    <t>number 2</t>
  </si>
  <si>
    <t>number 3</t>
  </si>
  <si>
    <t>X</t>
  </si>
  <si>
    <t>Y</t>
  </si>
  <si>
    <t>f1</t>
  </si>
  <si>
    <t>f2</t>
  </si>
  <si>
    <t>f3</t>
  </si>
  <si>
    <t>f4</t>
  </si>
  <si>
    <t>f5</t>
  </si>
  <si>
    <t>X/Y</t>
  </si>
  <si>
    <t>Count</t>
  </si>
  <si>
    <t>Max</t>
  </si>
  <si>
    <t>Min</t>
  </si>
  <si>
    <t>Range</t>
  </si>
  <si>
    <t>Z</t>
  </si>
  <si>
    <t>Bonus Percentage</t>
  </si>
  <si>
    <t>Income</t>
  </si>
  <si>
    <t>Bonus</t>
  </si>
  <si>
    <t>Salesman A</t>
  </si>
  <si>
    <t>Salesman B</t>
  </si>
  <si>
    <t>Average &gt;100000</t>
  </si>
  <si>
    <t>Salesman C</t>
  </si>
  <si>
    <t>Count &gt;100000</t>
  </si>
  <si>
    <t>Salesman D</t>
  </si>
  <si>
    <t>Salesman E</t>
  </si>
  <si>
    <t>Salesman F</t>
  </si>
  <si>
    <t>Salesman G</t>
  </si>
  <si>
    <t>Salesman H</t>
  </si>
  <si>
    <t>Salesman I</t>
  </si>
  <si>
    <t>Salesman J</t>
  </si>
  <si>
    <t>Fruit Data</t>
  </si>
  <si>
    <t>Number Data</t>
  </si>
  <si>
    <t>apples</t>
  </si>
  <si>
    <t>oranges</t>
  </si>
  <si>
    <t>a)</t>
  </si>
  <si>
    <t>peaches</t>
  </si>
  <si>
    <t>b)</t>
  </si>
  <si>
    <t>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</si>
</sst>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&quot;$&quot;#,##0"/>
    <numFmt numFmtId="165" formatCode="_(&quot;$&quot;* #,##0_);_(&quot;$&quot;* \(#,##0\);_(&quot;$&quot;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F0000"/>
      <name val="Calibri Light"/>
      <family val="2"/>
      <scheme val="major"/>
    </font>
    <font>
      <sz val="14"/>
      <color theme="1"/>
      <name val="Courier New"/>
      <family val="3"/>
    </font>
    <font>
      <sz val="14"/>
      <color rgb="FFFF0000"/>
      <name val="Courier New"/>
      <family val="3"/>
    </font>
    <font>
      <b/>
      <sz val="15"/>
      <color rgb="FF325500"/>
      <name val="Courier New"/>
      <family val="3"/>
    </font>
    <font>
      <b/>
      <sz val="11"/>
      <color rgb="FF000000"/>
      <name val="Calibri"/>
    </font>
    <font>
      <b/>
      <sz val="11"/>
      <color rgb="FF666699"/>
      <name val="Trebuchet MS"/>
    </font>
    <font>
      <sz val="11"/>
      <color rgb="FF000000"/>
      <name val="Trebuchet MS"/>
    </font>
  </fonts>
  <fills count="5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C0C0C0"/>
        <bgColor rgb="FFC0C0C0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rgb="FFFF0000"/>
      </right>
      <top style="medium">
        <color indexed="64"/>
      </top>
      <bottom style="medium">
        <color rgb="FFFF0000"/>
      </bottom>
      <diagonal/>
    </border>
    <border>
      <left style="medium">
        <color rgb="FFFF0000"/>
      </left>
      <right style="medium">
        <color rgb="FFFF0000"/>
      </right>
      <top style="medium">
        <color indexed="64"/>
      </top>
      <bottom style="medium">
        <color rgb="FFFF0000"/>
      </bottom>
      <diagonal/>
    </border>
    <border>
      <left style="medium">
        <color rgb="FFFF0000"/>
      </left>
      <right style="medium">
        <color indexed="64"/>
      </right>
      <top style="medium">
        <color indexed="64"/>
      </top>
      <bottom style="medium">
        <color rgb="FFFF0000"/>
      </bottom>
      <diagonal/>
    </border>
    <border>
      <left style="medium">
        <color indexed="64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rgb="FFFF0000"/>
      </left>
      <right style="medium">
        <color indexed="64"/>
      </right>
      <top style="medium">
        <color rgb="FFFF0000"/>
      </top>
      <bottom style="medium">
        <color rgb="FFFF0000"/>
      </bottom>
      <diagonal/>
    </border>
    <border>
      <left style="medium">
        <color indexed="64"/>
      </left>
      <right style="medium">
        <color rgb="FFFF0000"/>
      </right>
      <top style="medium">
        <color rgb="FFFF0000"/>
      </top>
      <bottom style="medium">
        <color indexed="64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indexed="64"/>
      </bottom>
      <diagonal/>
    </border>
    <border>
      <left style="medium">
        <color rgb="FFFF0000"/>
      </left>
      <right style="medium">
        <color indexed="64"/>
      </right>
      <top style="medium">
        <color rgb="FFFF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4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horizontal="center" vertical="top"/>
    </xf>
    <xf numFmtId="164" fontId="5" fillId="0" borderId="0" xfId="1" applyNumberFormat="1" applyFont="1"/>
    <xf numFmtId="165" fontId="5" fillId="0" borderId="0" xfId="1" applyNumberFormat="1" applyFont="1"/>
    <xf numFmtId="0" fontId="7" fillId="0" borderId="1" xfId="0" applyFont="1" applyBorder="1" applyAlignment="1">
      <alignment horizontal="center" vertical="top"/>
    </xf>
    <xf numFmtId="164" fontId="7" fillId="0" borderId="2" xfId="1" applyNumberFormat="1" applyFont="1" applyBorder="1" applyAlignment="1">
      <alignment horizontal="center" vertical="top"/>
    </xf>
    <xf numFmtId="165" fontId="7" fillId="0" borderId="2" xfId="1" applyNumberFormat="1" applyFont="1" applyBorder="1" applyAlignment="1">
      <alignment horizontal="center" vertical="top"/>
    </xf>
    <xf numFmtId="165" fontId="7" fillId="0" borderId="3" xfId="1" applyNumberFormat="1" applyFont="1" applyBorder="1" applyAlignment="1">
      <alignment horizontal="center" vertical="top"/>
    </xf>
    <xf numFmtId="0" fontId="7" fillId="0" borderId="4" xfId="0" applyFont="1" applyBorder="1" applyAlignment="1">
      <alignment horizontal="center" vertical="top"/>
    </xf>
    <xf numFmtId="164" fontId="5" fillId="0" borderId="5" xfId="1" applyNumberFormat="1" applyFont="1" applyBorder="1"/>
    <xf numFmtId="165" fontId="5" fillId="0" borderId="5" xfId="1" applyNumberFormat="1" applyFont="1" applyBorder="1"/>
    <xf numFmtId="165" fontId="5" fillId="0" borderId="6" xfId="1" applyNumberFormat="1" applyFont="1" applyBorder="1"/>
    <xf numFmtId="0" fontId="7" fillId="0" borderId="7" xfId="0" applyFont="1" applyBorder="1" applyAlignment="1">
      <alignment horizontal="center" vertical="top"/>
    </xf>
    <xf numFmtId="164" fontId="5" fillId="0" borderId="8" xfId="1" applyNumberFormat="1" applyFont="1" applyBorder="1"/>
    <xf numFmtId="165" fontId="5" fillId="0" borderId="8" xfId="1" applyNumberFormat="1" applyFont="1" applyBorder="1"/>
    <xf numFmtId="165" fontId="5" fillId="0" borderId="9" xfId="1" applyNumberFormat="1" applyFont="1" applyBorder="1"/>
    <xf numFmtId="0" fontId="8" fillId="2" borderId="10" xfId="0" applyFont="1" applyFill="1" applyBorder="1"/>
    <xf numFmtId="9" fontId="0" fillId="0" borderId="10" xfId="0" applyNumberFormat="1" applyBorder="1"/>
    <xf numFmtId="0" fontId="0" fillId="0" borderId="10" xfId="0" applyBorder="1"/>
    <xf numFmtId="0" fontId="8" fillId="2" borderId="10" xfId="0" applyFont="1" applyFill="1" applyBorder="1" applyAlignment="1">
      <alignment horizontal="center"/>
    </xf>
    <xf numFmtId="0" fontId="8" fillId="0" borderId="0" xfId="0" applyFont="1"/>
    <xf numFmtId="0" fontId="9" fillId="3" borderId="11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 wrapText="1"/>
    </xf>
    <xf numFmtId="0" fontId="0" fillId="4" borderId="0" xfId="0" applyFill="1"/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3255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zoomScale="140" zoomScaleNormal="140" workbookViewId="0">
      <selection activeCell="J6" sqref="J6"/>
    </sheetView>
  </sheetViews>
  <sheetFormatPr defaultRowHeight="14.5" x14ac:dyDescent="0.35"/>
  <cols>
    <col min="1" max="1" width="9.906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</row>
    <row r="2" spans="1:7" x14ac:dyDescent="0.35">
      <c r="A2" t="s">
        <v>4</v>
      </c>
      <c r="B2">
        <v>350000</v>
      </c>
      <c r="C2">
        <v>260000</v>
      </c>
      <c r="D2">
        <v>300000</v>
      </c>
      <c r="F2" t="s">
        <v>16</v>
      </c>
    </row>
    <row r="3" spans="1:7" x14ac:dyDescent="0.35">
      <c r="A3" t="s">
        <v>5</v>
      </c>
      <c r="B3">
        <v>500000</v>
      </c>
      <c r="C3">
        <v>490000</v>
      </c>
      <c r="D3">
        <v>370000</v>
      </c>
      <c r="F3" t="s">
        <v>17</v>
      </c>
      <c r="G3" s="2" t="s">
        <v>18</v>
      </c>
    </row>
    <row r="4" spans="1:7" x14ac:dyDescent="0.35">
      <c r="A4" t="s">
        <v>6</v>
      </c>
      <c r="B4">
        <v>240000</v>
      </c>
      <c r="C4">
        <v>200000</v>
      </c>
      <c r="D4">
        <v>250000</v>
      </c>
      <c r="F4" t="s">
        <v>2</v>
      </c>
      <c r="G4" t="s">
        <v>19</v>
      </c>
    </row>
    <row r="5" spans="1:7" x14ac:dyDescent="0.35">
      <c r="A5" t="s">
        <v>7</v>
      </c>
      <c r="B5">
        <v>400000</v>
      </c>
      <c r="C5">
        <v>300000</v>
      </c>
      <c r="D5">
        <v>250000</v>
      </c>
      <c r="F5" t="s">
        <v>3</v>
      </c>
      <c r="G5" t="s">
        <v>20</v>
      </c>
    </row>
    <row r="6" spans="1:7" x14ac:dyDescent="0.35">
      <c r="A6" t="s">
        <v>8</v>
      </c>
      <c r="B6">
        <v>520000</v>
      </c>
      <c r="C6">
        <v>410000</v>
      </c>
      <c r="D6">
        <v>360000</v>
      </c>
    </row>
    <row r="7" spans="1:7" x14ac:dyDescent="0.35">
      <c r="A7" t="s">
        <v>9</v>
      </c>
      <c r="B7">
        <v>300000</v>
      </c>
      <c r="C7">
        <v>320000</v>
      </c>
      <c r="D7">
        <v>400000</v>
      </c>
    </row>
    <row r="8" spans="1:7" x14ac:dyDescent="0.35">
      <c r="A8" t="s">
        <v>10</v>
      </c>
      <c r="B8">
        <v>200000</v>
      </c>
      <c r="C8">
        <v>250000</v>
      </c>
      <c r="D8">
        <v>260000</v>
      </c>
    </row>
    <row r="9" spans="1:7" x14ac:dyDescent="0.35">
      <c r="A9" t="s">
        <v>11</v>
      </c>
      <c r="B9">
        <v>400000</v>
      </c>
      <c r="C9">
        <v>600000</v>
      </c>
      <c r="D9">
        <v>400000</v>
      </c>
    </row>
    <row r="10" spans="1:7" x14ac:dyDescent="0.35">
      <c r="A10" t="s">
        <v>12</v>
      </c>
      <c r="B10">
        <v>1000000</v>
      </c>
      <c r="C10">
        <v>720000</v>
      </c>
      <c r="D10">
        <v>560000</v>
      </c>
    </row>
    <row r="11" spans="1:7" x14ac:dyDescent="0.35">
      <c r="A11" t="s">
        <v>13</v>
      </c>
      <c r="B11">
        <v>500000</v>
      </c>
      <c r="C11">
        <v>520000</v>
      </c>
      <c r="D11">
        <v>530000</v>
      </c>
    </row>
    <row r="12" spans="1:7" x14ac:dyDescent="0.35">
      <c r="A12" t="s">
        <v>14</v>
      </c>
      <c r="B12">
        <v>370000</v>
      </c>
      <c r="C12">
        <v>390000</v>
      </c>
      <c r="D12">
        <v>400000</v>
      </c>
    </row>
    <row r="13" spans="1:7" x14ac:dyDescent="0.35">
      <c r="A13" t="s">
        <v>15</v>
      </c>
      <c r="B13">
        <v>100000</v>
      </c>
      <c r="C13">
        <v>12000</v>
      </c>
      <c r="D13">
        <v>140000</v>
      </c>
    </row>
  </sheetData>
  <pageMargins left="0.7" right="0.7" top="0.75" bottom="0.75" header="0.3" footer="0.3"/>
  <pageSetup orientation="portrait" r:id="rId1"/>
  <headerFooter>
    <oddHeader>&amp;C&amp;"Calibri"&amp;12&amp;K0000FF General access&amp;1#_x000D_</oddHeader>
    <oddFooter>&amp;L&amp;1#&amp;"Calibri"&amp;7&amp;K000000C2 General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3"/>
  <sheetViews>
    <sheetView topLeftCell="B1" zoomScaleNormal="100" workbookViewId="0">
      <selection activeCell="B3" sqref="B3"/>
    </sheetView>
  </sheetViews>
  <sheetFormatPr defaultColWidth="21.6328125" defaultRowHeight="22.5" customHeight="1" x14ac:dyDescent="0.45"/>
  <cols>
    <col min="1" max="1" width="21.6328125" style="5"/>
    <col min="2" max="2" width="23.08984375" style="6" bestFit="1" customWidth="1"/>
    <col min="3" max="4" width="21.6328125" style="7"/>
    <col min="5" max="16384" width="21.6328125" style="3"/>
  </cols>
  <sheetData>
    <row r="1" spans="1:7" s="5" customFormat="1" ht="22.5" customHeight="1" thickBot="1" x14ac:dyDescent="0.4">
      <c r="A1" s="8" t="s">
        <v>0</v>
      </c>
      <c r="B1" s="9" t="s">
        <v>1</v>
      </c>
      <c r="C1" s="10" t="s">
        <v>2</v>
      </c>
      <c r="D1" s="11" t="s">
        <v>3</v>
      </c>
    </row>
    <row r="2" spans="1:7" ht="22.5" customHeight="1" thickBot="1" x14ac:dyDescent="0.5">
      <c r="A2" s="12" t="s">
        <v>4</v>
      </c>
      <c r="B2" s="13">
        <v>350000</v>
      </c>
      <c r="C2" s="14">
        <v>260000</v>
      </c>
      <c r="D2" s="15">
        <v>300000</v>
      </c>
      <c r="F2" s="33" t="s">
        <v>16</v>
      </c>
      <c r="G2" s="33"/>
    </row>
    <row r="3" spans="1:7" ht="22.5" customHeight="1" thickBot="1" x14ac:dyDescent="0.5">
      <c r="A3" s="12" t="s">
        <v>5</v>
      </c>
      <c r="B3" s="13">
        <v>500000</v>
      </c>
      <c r="C3" s="14">
        <v>490000</v>
      </c>
      <c r="D3" s="15">
        <v>370000</v>
      </c>
      <c r="F3" s="4" t="s">
        <v>17</v>
      </c>
      <c r="G3" s="4" t="s">
        <v>18</v>
      </c>
    </row>
    <row r="4" spans="1:7" ht="22.5" customHeight="1" thickBot="1" x14ac:dyDescent="0.5">
      <c r="A4" s="12" t="s">
        <v>6</v>
      </c>
      <c r="B4" s="13">
        <v>240000</v>
      </c>
      <c r="C4" s="14">
        <v>200000</v>
      </c>
      <c r="D4" s="15">
        <v>250000</v>
      </c>
      <c r="F4" s="3" t="s">
        <v>2</v>
      </c>
      <c r="G4" s="3" t="s">
        <v>19</v>
      </c>
    </row>
    <row r="5" spans="1:7" ht="22.5" customHeight="1" thickBot="1" x14ac:dyDescent="0.5">
      <c r="A5" s="12" t="s">
        <v>7</v>
      </c>
      <c r="B5" s="13">
        <v>400000</v>
      </c>
      <c r="C5" s="14">
        <v>300000</v>
      </c>
      <c r="D5" s="15">
        <v>250000</v>
      </c>
      <c r="F5" s="3" t="s">
        <v>3</v>
      </c>
      <c r="G5" s="3" t="s">
        <v>20</v>
      </c>
    </row>
    <row r="6" spans="1:7" ht="22.5" customHeight="1" thickBot="1" x14ac:dyDescent="0.5">
      <c r="A6" s="12" t="s">
        <v>8</v>
      </c>
      <c r="B6" s="13">
        <v>520000</v>
      </c>
      <c r="C6" s="14">
        <v>410000</v>
      </c>
      <c r="D6" s="15">
        <v>360000</v>
      </c>
    </row>
    <row r="7" spans="1:7" ht="22.5" customHeight="1" thickBot="1" x14ac:dyDescent="0.5">
      <c r="A7" s="12" t="s">
        <v>9</v>
      </c>
      <c r="B7" s="13">
        <v>300000</v>
      </c>
      <c r="C7" s="14">
        <v>320000</v>
      </c>
      <c r="D7" s="15">
        <v>400000</v>
      </c>
    </row>
    <row r="8" spans="1:7" ht="22.5" customHeight="1" thickBot="1" x14ac:dyDescent="0.5">
      <c r="A8" s="12" t="s">
        <v>10</v>
      </c>
      <c r="B8" s="13">
        <v>200000</v>
      </c>
      <c r="C8" s="14">
        <v>250000</v>
      </c>
      <c r="D8" s="15">
        <v>260000</v>
      </c>
    </row>
    <row r="9" spans="1:7" ht="22.5" customHeight="1" thickBot="1" x14ac:dyDescent="0.5">
      <c r="A9" s="12" t="s">
        <v>11</v>
      </c>
      <c r="B9" s="13">
        <v>400000</v>
      </c>
      <c r="C9" s="14">
        <v>600000</v>
      </c>
      <c r="D9" s="15">
        <v>400000</v>
      </c>
    </row>
    <row r="10" spans="1:7" ht="22.5" customHeight="1" thickBot="1" x14ac:dyDescent="0.5">
      <c r="A10" s="12" t="s">
        <v>12</v>
      </c>
      <c r="B10" s="13">
        <v>1000000</v>
      </c>
      <c r="C10" s="14">
        <v>720000</v>
      </c>
      <c r="D10" s="15">
        <v>560000</v>
      </c>
    </row>
    <row r="11" spans="1:7" ht="22.5" customHeight="1" thickBot="1" x14ac:dyDescent="0.5">
      <c r="A11" s="12" t="s">
        <v>13</v>
      </c>
      <c r="B11" s="13">
        <v>500000</v>
      </c>
      <c r="C11" s="14">
        <v>520000</v>
      </c>
      <c r="D11" s="15">
        <v>530000</v>
      </c>
    </row>
    <row r="12" spans="1:7" ht="22.5" customHeight="1" thickBot="1" x14ac:dyDescent="0.5">
      <c r="A12" s="12" t="s">
        <v>14</v>
      </c>
      <c r="B12" s="13">
        <v>370000</v>
      </c>
      <c r="C12" s="14">
        <v>390000</v>
      </c>
      <c r="D12" s="15">
        <v>400000</v>
      </c>
    </row>
    <row r="13" spans="1:7" ht="22.5" customHeight="1" thickBot="1" x14ac:dyDescent="0.5">
      <c r="A13" s="16" t="s">
        <v>15</v>
      </c>
      <c r="B13" s="17">
        <v>100000</v>
      </c>
      <c r="C13" s="18">
        <v>12000</v>
      </c>
      <c r="D13" s="19">
        <v>140000</v>
      </c>
    </row>
  </sheetData>
  <mergeCells count="1">
    <mergeCell ref="F2:G2"/>
  </mergeCells>
  <pageMargins left="0.7" right="0.7" top="0.75" bottom="0.75" header="0.3" footer="0.3"/>
  <pageSetup orientation="portrait" r:id="rId1"/>
  <headerFooter>
    <oddHeader>&amp;C&amp;"Calibri"&amp;12&amp;K0000FF General access&amp;1#_x000D_</oddHeader>
    <oddFooter>&amp;L&amp;1#&amp;"Calibri"&amp;7&amp;K000000C2 General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"/>
  <sheetViews>
    <sheetView zoomScale="170" zoomScaleNormal="170" workbookViewId="0">
      <selection activeCell="E4" sqref="E4"/>
    </sheetView>
  </sheetViews>
  <sheetFormatPr defaultRowHeight="14.5" x14ac:dyDescent="0.35"/>
  <sheetData>
    <row r="1" spans="1:6" x14ac:dyDescent="0.35"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 x14ac:dyDescent="0.35">
      <c r="A2" s="1">
        <v>1</v>
      </c>
      <c r="B2">
        <f>B$1*$A2</f>
        <v>1</v>
      </c>
      <c r="C2">
        <f>C$1*$A2</f>
        <v>2</v>
      </c>
      <c r="D2">
        <f>D$1*$A2</f>
        <v>3</v>
      </c>
      <c r="E2">
        <f>E$1*$A2</f>
        <v>4</v>
      </c>
      <c r="F2">
        <f>F$1*$A2</f>
        <v>5</v>
      </c>
    </row>
    <row r="3" spans="1:6" x14ac:dyDescent="0.35">
      <c r="A3" s="1">
        <v>2</v>
      </c>
      <c r="B3">
        <f>B$1*$A3</f>
        <v>2</v>
      </c>
      <c r="C3">
        <f t="shared" ref="C3:F6" si="0">C$1*$A3</f>
        <v>4</v>
      </c>
      <c r="D3">
        <f t="shared" si="0"/>
        <v>6</v>
      </c>
      <c r="E3">
        <f t="shared" si="0"/>
        <v>8</v>
      </c>
      <c r="F3">
        <f t="shared" si="0"/>
        <v>10</v>
      </c>
    </row>
    <row r="4" spans="1:6" x14ac:dyDescent="0.35">
      <c r="A4" s="1">
        <v>3</v>
      </c>
      <c r="B4">
        <f>B$1*$A4</f>
        <v>3</v>
      </c>
      <c r="C4">
        <f t="shared" si="0"/>
        <v>6</v>
      </c>
      <c r="D4">
        <f t="shared" si="0"/>
        <v>9</v>
      </c>
      <c r="E4">
        <f t="shared" si="0"/>
        <v>12</v>
      </c>
      <c r="F4">
        <f t="shared" si="0"/>
        <v>15</v>
      </c>
    </row>
    <row r="5" spans="1:6" x14ac:dyDescent="0.35">
      <c r="A5" s="1">
        <v>4</v>
      </c>
      <c r="B5">
        <f>B$1*$A5</f>
        <v>4</v>
      </c>
      <c r="C5">
        <f t="shared" si="0"/>
        <v>8</v>
      </c>
      <c r="D5">
        <f t="shared" si="0"/>
        <v>12</v>
      </c>
      <c r="E5">
        <f t="shared" si="0"/>
        <v>16</v>
      </c>
      <c r="F5">
        <f t="shared" si="0"/>
        <v>20</v>
      </c>
    </row>
    <row r="6" spans="1:6" x14ac:dyDescent="0.35">
      <c r="A6" s="1">
        <v>5</v>
      </c>
      <c r="B6">
        <f>B$1*$A6</f>
        <v>5</v>
      </c>
      <c r="C6">
        <f t="shared" si="0"/>
        <v>10</v>
      </c>
      <c r="D6">
        <f t="shared" si="0"/>
        <v>15</v>
      </c>
      <c r="E6">
        <f t="shared" si="0"/>
        <v>20</v>
      </c>
      <c r="F6">
        <f t="shared" si="0"/>
        <v>25</v>
      </c>
    </row>
  </sheetData>
  <pageMargins left="0.7" right="0.7" top="0.75" bottom="0.75" header="0.3" footer="0.3"/>
  <pageSetup orientation="portrait" r:id="rId1"/>
  <headerFooter>
    <oddHeader>&amp;C&amp;"Calibri"&amp;12&amp;K0000FF General access&amp;1#_x000D_</oddHeader>
    <oddFooter>&amp;L&amp;1#&amp;"Calibri"&amp;7&amp;K000000C2 General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334EE-84B7-4F61-9261-5F6DCCB0AA92}">
  <dimension ref="A1:J17"/>
  <sheetViews>
    <sheetView workbookViewId="0">
      <selection activeCell="B16" sqref="B16"/>
    </sheetView>
  </sheetViews>
  <sheetFormatPr defaultColWidth="9.1796875" defaultRowHeight="18.5" x14ac:dyDescent="0.45"/>
  <cols>
    <col min="1" max="16384" width="9.1796875" style="32"/>
  </cols>
  <sheetData>
    <row r="1" spans="1:10" x14ac:dyDescent="0.45">
      <c r="B1" s="32" t="s">
        <v>21</v>
      </c>
      <c r="C1" s="32" t="s">
        <v>22</v>
      </c>
      <c r="D1" s="32" t="s">
        <v>23</v>
      </c>
      <c r="E1" s="32" t="s">
        <v>24</v>
      </c>
      <c r="F1" s="32" t="s">
        <v>25</v>
      </c>
      <c r="G1" s="32" t="s">
        <v>26</v>
      </c>
      <c r="H1" s="32" t="s">
        <v>27</v>
      </c>
      <c r="J1" s="32" t="s">
        <v>28</v>
      </c>
    </row>
    <row r="2" spans="1:10" x14ac:dyDescent="0.45">
      <c r="B2" s="32">
        <v>1</v>
      </c>
      <c r="C2" s="32">
        <v>2</v>
      </c>
      <c r="D2" s="32">
        <f>2*B2^3-6*B2^2</f>
        <v>-4</v>
      </c>
      <c r="E2" s="32">
        <f>4*C2^(4/3)-SQRT(C2+3)</f>
        <v>7.8433004216591939</v>
      </c>
      <c r="F2" s="32">
        <f>SIN(B2)+COS(B2)</f>
        <v>1.3817732906760363</v>
      </c>
      <c r="G2" s="32">
        <f>3*POWER(TAN(B2),2)</f>
        <v>7.2765564624442796</v>
      </c>
      <c r="H2" s="32">
        <f>6*LOG10(B2^2+1)-B2</f>
        <v>0.80617997398388708</v>
      </c>
      <c r="J2" s="32">
        <f>B2/C2</f>
        <v>0.5</v>
      </c>
    </row>
    <row r="3" spans="1:10" x14ac:dyDescent="0.45">
      <c r="B3" s="32">
        <v>2</v>
      </c>
      <c r="C3" s="32">
        <v>4</v>
      </c>
      <c r="D3" s="32">
        <f t="shared" ref="D3:D11" si="0">2*B3^3-6*B3^2</f>
        <v>-8</v>
      </c>
      <c r="E3" s="32">
        <f t="shared" ref="E3:E11" si="1">4*C3^(4/3)-SQRT(C3+3)</f>
        <v>22.7526655204266</v>
      </c>
      <c r="F3" s="32">
        <f t="shared" ref="F3:F11" si="2">SIN(B3)+COS(B3)</f>
        <v>0.4931505902785393</v>
      </c>
      <c r="G3" s="32">
        <f t="shared" ref="G3:G11" si="3">3*POWER(TAN(B3),2)</f>
        <v>14.323197612125753</v>
      </c>
      <c r="H3" s="32">
        <f t="shared" ref="H3:H11" si="4">6*LOG10(B3^2+1)-B3</f>
        <v>2.1938200260161134</v>
      </c>
      <c r="J3" s="32">
        <f t="shared" ref="J3:J11" si="5">B3/C3</f>
        <v>0.5</v>
      </c>
    </row>
    <row r="4" spans="1:10" x14ac:dyDescent="0.45">
      <c r="B4" s="32">
        <v>3</v>
      </c>
      <c r="C4" s="32">
        <v>6</v>
      </c>
      <c r="D4" s="32">
        <f t="shared" si="0"/>
        <v>0</v>
      </c>
      <c r="E4" s="32">
        <f t="shared" si="1"/>
        <v>40.610894227971343</v>
      </c>
      <c r="F4" s="32">
        <f t="shared" si="2"/>
        <v>-0.84887248854057817</v>
      </c>
      <c r="G4" s="32">
        <f t="shared" si="3"/>
        <v>6.0958550827280814E-2</v>
      </c>
      <c r="H4" s="32">
        <f t="shared" si="4"/>
        <v>3</v>
      </c>
      <c r="J4" s="32">
        <f t="shared" si="5"/>
        <v>0.5</v>
      </c>
    </row>
    <row r="5" spans="1:10" x14ac:dyDescent="0.45">
      <c r="B5" s="32">
        <v>4</v>
      </c>
      <c r="C5" s="32">
        <v>8</v>
      </c>
      <c r="D5" s="32">
        <f t="shared" si="0"/>
        <v>32</v>
      </c>
      <c r="E5" s="32">
        <f t="shared" si="1"/>
        <v>60.683375209644566</v>
      </c>
      <c r="F5" s="32">
        <f t="shared" si="2"/>
        <v>-1.4104461161715403</v>
      </c>
      <c r="G5" s="32">
        <f t="shared" si="3"/>
        <v>4.0216503655848603</v>
      </c>
      <c r="H5" s="32">
        <f t="shared" si="4"/>
        <v>3.3826935282696429</v>
      </c>
      <c r="J5" s="32">
        <f t="shared" si="5"/>
        <v>0.5</v>
      </c>
    </row>
    <row r="6" spans="1:10" x14ac:dyDescent="0.45">
      <c r="B6" s="32">
        <v>5</v>
      </c>
      <c r="C6" s="32">
        <v>10</v>
      </c>
      <c r="D6" s="32">
        <f t="shared" si="0"/>
        <v>100</v>
      </c>
      <c r="E6" s="32">
        <f t="shared" si="1"/>
        <v>82.571836325811375</v>
      </c>
      <c r="F6" s="32">
        <f t="shared" si="2"/>
        <v>-0.67526208919991215</v>
      </c>
      <c r="G6" s="32">
        <f t="shared" si="3"/>
        <v>34.283645122375063</v>
      </c>
      <c r="H6" s="32">
        <f t="shared" si="4"/>
        <v>3.4898400878249074</v>
      </c>
      <c r="J6" s="32">
        <f t="shared" si="5"/>
        <v>0.5</v>
      </c>
    </row>
    <row r="7" spans="1:10" x14ac:dyDescent="0.45">
      <c r="B7" s="32">
        <v>6</v>
      </c>
      <c r="C7" s="32">
        <v>12</v>
      </c>
      <c r="D7" s="32">
        <f t="shared" si="0"/>
        <v>216</v>
      </c>
      <c r="E7" s="32">
        <f t="shared" si="1"/>
        <v>106.01958393891245</v>
      </c>
      <c r="F7" s="32">
        <f t="shared" si="2"/>
        <v>0.68075478845144011</v>
      </c>
      <c r="G7" s="32">
        <f t="shared" si="3"/>
        <v>0.25405381027277174</v>
      </c>
      <c r="H7" s="32">
        <f t="shared" si="4"/>
        <v>3.4092103444019699</v>
      </c>
      <c r="J7" s="32">
        <f t="shared" si="5"/>
        <v>0.5</v>
      </c>
    </row>
    <row r="8" spans="1:10" x14ac:dyDescent="0.45">
      <c r="B8" s="32">
        <v>7</v>
      </c>
      <c r="C8" s="32">
        <v>14</v>
      </c>
      <c r="D8" s="32">
        <f t="shared" si="0"/>
        <v>392</v>
      </c>
      <c r="E8" s="32">
        <f t="shared" si="1"/>
        <v>130.84486116819514</v>
      </c>
      <c r="F8" s="32">
        <f t="shared" si="2"/>
        <v>1.4108888530620938</v>
      </c>
      <c r="G8" s="32">
        <f t="shared" si="3"/>
        <v>2.2782647597828536</v>
      </c>
      <c r="H8" s="32">
        <f t="shared" si="4"/>
        <v>3.1938200260161125</v>
      </c>
      <c r="J8" s="32">
        <f t="shared" si="5"/>
        <v>0.5</v>
      </c>
    </row>
    <row r="9" spans="1:10" x14ac:dyDescent="0.45">
      <c r="B9" s="32">
        <v>8</v>
      </c>
      <c r="C9" s="32">
        <v>16</v>
      </c>
      <c r="D9" s="32">
        <f t="shared" si="0"/>
        <v>640</v>
      </c>
      <c r="E9" s="32">
        <f t="shared" si="1"/>
        <v>156.91099544300303</v>
      </c>
      <c r="F9" s="32">
        <f t="shared" si="2"/>
        <v>0.84385821281476825</v>
      </c>
      <c r="G9" s="32">
        <f t="shared" si="3"/>
        <v>138.70822762276572</v>
      </c>
      <c r="H9" s="32">
        <f t="shared" si="4"/>
        <v>2.8774801398571324</v>
      </c>
      <c r="J9" s="32">
        <f t="shared" si="5"/>
        <v>0.5</v>
      </c>
    </row>
    <row r="10" spans="1:10" x14ac:dyDescent="0.45">
      <c r="B10" s="32">
        <v>9</v>
      </c>
      <c r="C10" s="32">
        <v>18</v>
      </c>
      <c r="D10" s="32">
        <f t="shared" si="0"/>
        <v>972</v>
      </c>
      <c r="E10" s="32">
        <f t="shared" si="1"/>
        <v>184.11080468808467</v>
      </c>
      <c r="F10" s="32">
        <f t="shared" si="2"/>
        <v>-0.49901177664292035</v>
      </c>
      <c r="G10" s="32">
        <f t="shared" si="3"/>
        <v>0.61376836732883788</v>
      </c>
      <c r="H10" s="32">
        <f t="shared" si="4"/>
        <v>2.4828831143023002</v>
      </c>
      <c r="J10" s="32">
        <f t="shared" si="5"/>
        <v>0.5</v>
      </c>
    </row>
    <row r="11" spans="1:10" x14ac:dyDescent="0.45">
      <c r="B11" s="32">
        <v>10</v>
      </c>
      <c r="C11" s="32">
        <v>20</v>
      </c>
      <c r="D11" s="32">
        <f t="shared" si="0"/>
        <v>1400</v>
      </c>
      <c r="E11" s="32">
        <f t="shared" si="1"/>
        <v>212.35757780427971</v>
      </c>
      <c r="F11" s="32">
        <f t="shared" si="2"/>
        <v>-1.3830926399658221</v>
      </c>
      <c r="G11" s="32">
        <f t="shared" si="3"/>
        <v>1.2611152877502945</v>
      </c>
      <c r="H11" s="32">
        <f t="shared" si="4"/>
        <v>2.0259282426958549</v>
      </c>
      <c r="J11" s="32">
        <f t="shared" si="5"/>
        <v>0.5</v>
      </c>
    </row>
    <row r="13" spans="1:10" x14ac:dyDescent="0.45">
      <c r="A13" s="32" t="s">
        <v>29</v>
      </c>
      <c r="B13" s="32">
        <f>COUNT(B2:B11)</f>
        <v>10</v>
      </c>
      <c r="C13" s="32">
        <f>COUNT(C2:C11)</f>
        <v>10</v>
      </c>
      <c r="D13" s="32">
        <f t="shared" ref="D13:H13" si="6">COUNT(D2:D11)</f>
        <v>10</v>
      </c>
      <c r="E13" s="32">
        <f t="shared" si="6"/>
        <v>10</v>
      </c>
      <c r="F13" s="32">
        <f t="shared" si="6"/>
        <v>10</v>
      </c>
      <c r="G13" s="32">
        <f t="shared" si="6"/>
        <v>10</v>
      </c>
      <c r="H13" s="32">
        <f t="shared" si="6"/>
        <v>10</v>
      </c>
    </row>
    <row r="14" spans="1:10" x14ac:dyDescent="0.45">
      <c r="A14" s="32" t="s">
        <v>30</v>
      </c>
      <c r="B14" s="32">
        <f>MAX(B2:B11)</f>
        <v>10</v>
      </c>
      <c r="C14" s="32">
        <f t="shared" ref="C14:H14" si="7">MAX(C2:C11)</f>
        <v>20</v>
      </c>
      <c r="D14" s="32">
        <f t="shared" si="7"/>
        <v>1400</v>
      </c>
      <c r="E14" s="32">
        <f t="shared" si="7"/>
        <v>212.35757780427971</v>
      </c>
      <c r="F14" s="32">
        <f t="shared" si="7"/>
        <v>1.4108888530620938</v>
      </c>
      <c r="G14" s="32">
        <f t="shared" si="7"/>
        <v>138.70822762276572</v>
      </c>
      <c r="H14" s="32">
        <f t="shared" si="7"/>
        <v>3.4898400878249074</v>
      </c>
    </row>
    <row r="15" spans="1:10" x14ac:dyDescent="0.45">
      <c r="A15" s="32" t="s">
        <v>31</v>
      </c>
      <c r="B15" s="32">
        <f>MIN(B2:B11)</f>
        <v>1</v>
      </c>
      <c r="C15" s="32">
        <f t="shared" ref="C15:H15" si="8">MIN(C2:C11)</f>
        <v>2</v>
      </c>
      <c r="D15" s="32">
        <f t="shared" si="8"/>
        <v>-8</v>
      </c>
      <c r="E15" s="32">
        <f t="shared" si="8"/>
        <v>7.8433004216591939</v>
      </c>
      <c r="F15" s="32">
        <f t="shared" si="8"/>
        <v>-1.4104461161715403</v>
      </c>
      <c r="G15" s="32">
        <f t="shared" si="8"/>
        <v>6.0958550827280814E-2</v>
      </c>
      <c r="H15" s="32">
        <f t="shared" si="8"/>
        <v>0.80617997398388708</v>
      </c>
    </row>
    <row r="16" spans="1:10" x14ac:dyDescent="0.45">
      <c r="A16" s="32" t="s">
        <v>32</v>
      </c>
      <c r="B16" s="32">
        <f>B14-B15</f>
        <v>9</v>
      </c>
      <c r="C16" s="32">
        <f t="shared" ref="C16:H16" si="9">C14-C15</f>
        <v>18</v>
      </c>
      <c r="D16" s="32">
        <f t="shared" si="9"/>
        <v>1408</v>
      </c>
      <c r="E16" s="32">
        <f t="shared" si="9"/>
        <v>204.51427738262052</v>
      </c>
      <c r="F16" s="32">
        <f t="shared" si="9"/>
        <v>2.821334969233634</v>
      </c>
      <c r="G16" s="32">
        <f t="shared" si="9"/>
        <v>138.64726907193844</v>
      </c>
      <c r="H16" s="32">
        <f t="shared" si="9"/>
        <v>2.6836601138410203</v>
      </c>
    </row>
    <row r="17" spans="1:2" x14ac:dyDescent="0.45">
      <c r="A17" s="32" t="s">
        <v>33</v>
      </c>
      <c r="B17" s="32">
        <f>SUM(J2:J11)</f>
        <v>5</v>
      </c>
    </row>
  </sheetData>
  <pageMargins left="0.7" right="0.7" top="0.75" bottom="0.75" header="0.3" footer="0.3"/>
  <pageSetup orientation="portrait" r:id="rId1"/>
  <headerFooter>
    <oddHeader>&amp;C&amp;"Calibri"&amp;12&amp;K0000FF General access&amp;1#_x000D_</oddHeader>
    <oddFooter>&amp;L&amp;1#&amp;"Calibri"&amp;7&amp;K000000C2 General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F94A0-FFF7-4DC9-A850-F8F5FC3C57F2}">
  <dimension ref="A2:F100"/>
  <sheetViews>
    <sheetView workbookViewId="0">
      <selection activeCell="H10" sqref="H10"/>
    </sheetView>
  </sheetViews>
  <sheetFormatPr defaultColWidth="14.453125" defaultRowHeight="14.5" x14ac:dyDescent="0.35"/>
  <cols>
    <col min="1" max="1" width="17" customWidth="1"/>
    <col min="2" max="4" width="8.7265625" customWidth="1"/>
    <col min="5" max="5" width="15.81640625" customWidth="1"/>
    <col min="6" max="11" width="8.7265625" customWidth="1"/>
  </cols>
  <sheetData>
    <row r="2" spans="1:6" x14ac:dyDescent="0.35">
      <c r="A2" s="20" t="s">
        <v>34</v>
      </c>
      <c r="B2" s="21">
        <v>0.1</v>
      </c>
    </row>
    <row r="3" spans="1:6" x14ac:dyDescent="0.35">
      <c r="A3" s="20" t="s">
        <v>31</v>
      </c>
      <c r="B3" s="22">
        <v>1000</v>
      </c>
    </row>
    <row r="4" spans="1:6" x14ac:dyDescent="0.35">
      <c r="A4" s="20" t="s">
        <v>30</v>
      </c>
      <c r="B4" s="22">
        <v>130000</v>
      </c>
    </row>
    <row r="6" spans="1:6" x14ac:dyDescent="0.35">
      <c r="B6" s="23" t="s">
        <v>35</v>
      </c>
      <c r="C6" s="23" t="s">
        <v>36</v>
      </c>
    </row>
    <row r="7" spans="1:6" x14ac:dyDescent="0.35">
      <c r="A7" s="22" t="s">
        <v>37</v>
      </c>
      <c r="B7" s="22">
        <v>3000</v>
      </c>
      <c r="C7" s="22">
        <f>IF(AND(B7&gt;=$B$3,B7&lt;=$B$4),$B$2*B7,"No Bonus")</f>
        <v>300</v>
      </c>
    </row>
    <row r="8" spans="1:6" x14ac:dyDescent="0.35">
      <c r="A8" s="22" t="s">
        <v>38</v>
      </c>
      <c r="B8" s="22">
        <v>2500</v>
      </c>
      <c r="C8" s="22">
        <f t="shared" ref="C8:C16" si="0">IF(AND(B8&gt;=$B$3,B8&lt;=$B$4),$B$2*B8,"No Bonus")</f>
        <v>250</v>
      </c>
      <c r="E8" s="24" t="s">
        <v>39</v>
      </c>
      <c r="F8">
        <f>AVERAGEIF(B7:B16,"&gt;100000")</f>
        <v>258350</v>
      </c>
    </row>
    <row r="9" spans="1:6" x14ac:dyDescent="0.35">
      <c r="A9" s="22" t="s">
        <v>40</v>
      </c>
      <c r="B9" s="22">
        <v>50</v>
      </c>
      <c r="C9" s="22" t="str">
        <f t="shared" si="0"/>
        <v>No Bonus</v>
      </c>
      <c r="E9" s="24" t="s">
        <v>41</v>
      </c>
      <c r="F9">
        <f>COUNTIF(B7:B16,"&gt;100000")</f>
        <v>3</v>
      </c>
    </row>
    <row r="10" spans="1:6" x14ac:dyDescent="0.35">
      <c r="A10" s="22" t="s">
        <v>42</v>
      </c>
      <c r="B10" s="22">
        <v>1234</v>
      </c>
      <c r="C10" s="22">
        <f t="shared" si="0"/>
        <v>123.4</v>
      </c>
    </row>
    <row r="11" spans="1:6" x14ac:dyDescent="0.35">
      <c r="A11" s="22" t="s">
        <v>43</v>
      </c>
      <c r="B11" s="22">
        <v>120000</v>
      </c>
      <c r="C11" s="22">
        <f t="shared" si="0"/>
        <v>12000</v>
      </c>
    </row>
    <row r="12" spans="1:6" x14ac:dyDescent="0.35">
      <c r="A12" s="22" t="s">
        <v>44</v>
      </c>
      <c r="B12" s="22">
        <v>150000</v>
      </c>
      <c r="C12" s="22" t="str">
        <f t="shared" si="0"/>
        <v>No Bonus</v>
      </c>
    </row>
    <row r="13" spans="1:6" x14ac:dyDescent="0.35">
      <c r="A13" s="22" t="s">
        <v>45</v>
      </c>
      <c r="B13" s="22">
        <v>505050</v>
      </c>
      <c r="C13" s="22" t="str">
        <f t="shared" si="0"/>
        <v>No Bonus</v>
      </c>
    </row>
    <row r="14" spans="1:6" x14ac:dyDescent="0.35">
      <c r="A14" s="22" t="s">
        <v>46</v>
      </c>
      <c r="B14" s="22">
        <v>3214</v>
      </c>
      <c r="C14" s="22">
        <f t="shared" si="0"/>
        <v>321.40000000000003</v>
      </c>
    </row>
    <row r="15" spans="1:6" x14ac:dyDescent="0.35">
      <c r="A15" s="22" t="s">
        <v>47</v>
      </c>
      <c r="B15" s="22">
        <v>22</v>
      </c>
      <c r="C15" s="22" t="str">
        <f t="shared" si="0"/>
        <v>No Bonus</v>
      </c>
    </row>
    <row r="16" spans="1:6" x14ac:dyDescent="0.35">
      <c r="A16" s="22" t="s">
        <v>48</v>
      </c>
      <c r="B16" s="22">
        <v>5000</v>
      </c>
      <c r="C16" s="22">
        <f t="shared" si="0"/>
        <v>500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</sheetData>
  <pageMargins left="0.7" right="0.7" top="0.75" bottom="0.75" header="0.3" footer="0.3"/>
  <pageSetup orientation="portrait" r:id="rId1"/>
  <headerFooter>
    <oddHeader>&amp;C&amp;"Calibri"&amp;12&amp;K0000FF General access&amp;1#_x000D_</oddHeader>
    <oddFooter>&amp;L&amp;1#&amp;"Calibri"&amp;7&amp;K000000C2 General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81743-AC8B-4550-8930-E210E83A04FE}">
  <dimension ref="A1:E100"/>
  <sheetViews>
    <sheetView workbookViewId="0">
      <selection activeCell="E5" sqref="E5"/>
    </sheetView>
  </sheetViews>
  <sheetFormatPr defaultColWidth="14.453125" defaultRowHeight="14.5" x14ac:dyDescent="0.35"/>
  <cols>
    <col min="1" max="1" width="14.54296875" customWidth="1"/>
    <col min="2" max="11" width="8.7265625" customWidth="1"/>
  </cols>
  <sheetData>
    <row r="1" spans="1:5" ht="29.5" thickBot="1" x14ac:dyDescent="0.4">
      <c r="A1" s="25" t="s">
        <v>49</v>
      </c>
      <c r="B1" s="26" t="s">
        <v>50</v>
      </c>
    </row>
    <row r="2" spans="1:5" x14ac:dyDescent="0.35">
      <c r="A2" s="27" t="s">
        <v>51</v>
      </c>
      <c r="B2" s="28">
        <v>86</v>
      </c>
    </row>
    <row r="3" spans="1:5" x14ac:dyDescent="0.35">
      <c r="A3" s="27" t="s">
        <v>52</v>
      </c>
      <c r="B3" s="28">
        <v>54</v>
      </c>
      <c r="D3" t="s">
        <v>53</v>
      </c>
      <c r="E3" s="31"/>
    </row>
    <row r="4" spans="1:5" x14ac:dyDescent="0.35">
      <c r="A4" s="27" t="s">
        <v>54</v>
      </c>
      <c r="B4" s="28">
        <v>75</v>
      </c>
      <c r="D4" t="s">
        <v>55</v>
      </c>
      <c r="E4" s="31"/>
    </row>
    <row r="5" spans="1:5" ht="15" thickBot="1" x14ac:dyDescent="0.4">
      <c r="A5" s="29" t="s">
        <v>51</v>
      </c>
      <c r="B5" s="30">
        <v>32</v>
      </c>
      <c r="D5" t="s">
        <v>56</v>
      </c>
      <c r="E5" s="31"/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</sheetData>
  <pageMargins left="0.7" right="0.7" top="0.75" bottom="0.75" header="0.3" footer="0.3"/>
  <pageSetup orientation="portrait" r:id="rId1"/>
  <headerFooter>
    <oddHeader>&amp;C&amp;"Calibri"&amp;12&amp;K0000FF General access&amp;1#_x000D_</oddHeader>
    <oddFooter>&amp;L&amp;1#&amp;"Calibri"&amp;7&amp;K000000C2 General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E13C1-640B-494F-9C2B-3DA10E503956}">
  <dimension ref="A1:E100"/>
  <sheetViews>
    <sheetView tabSelected="1" workbookViewId="0"/>
  </sheetViews>
  <sheetFormatPr defaultColWidth="14.453125" defaultRowHeight="14.5" x14ac:dyDescent="0.35"/>
  <cols>
    <col min="1" max="1" width="14.54296875" customWidth="1"/>
    <col min="2" max="11" width="8.7265625" customWidth="1"/>
  </cols>
  <sheetData>
    <row r="1" spans="1:5" ht="29.5" thickBot="1" x14ac:dyDescent="0.4">
      <c r="A1" s="25" t="s">
        <v>49</v>
      </c>
      <c r="B1" s="26" t="s">
        <v>50</v>
      </c>
    </row>
    <row r="2" spans="1:5" x14ac:dyDescent="0.35">
      <c r="A2" s="27" t="s">
        <v>51</v>
      </c>
      <c r="B2" s="28">
        <v>86</v>
      </c>
    </row>
    <row r="3" spans="1:5" x14ac:dyDescent="0.35">
      <c r="A3" s="27" t="s">
        <v>52</v>
      </c>
      <c r="B3" s="28">
        <v>54</v>
      </c>
      <c r="D3" t="s">
        <v>53</v>
      </c>
      <c r="E3">
        <f>COUNTIF(B2:B5,"&gt;50")</f>
        <v>3</v>
      </c>
    </row>
    <row r="4" spans="1:5" x14ac:dyDescent="0.35">
      <c r="A4" s="27" t="s">
        <v>54</v>
      </c>
      <c r="B4" s="28">
        <v>75</v>
      </c>
      <c r="D4" t="s">
        <v>55</v>
      </c>
      <c r="E4">
        <f>COUNTIFS(B2:B5,"&lt;90",A2:A5,"apples")</f>
        <v>2</v>
      </c>
    </row>
    <row r="5" spans="1:5" ht="15" thickBot="1" x14ac:dyDescent="0.4">
      <c r="A5" s="29" t="s">
        <v>51</v>
      </c>
      <c r="B5" s="30">
        <v>32</v>
      </c>
      <c r="D5" t="s">
        <v>56</v>
      </c>
      <c r="E5">
        <f>SUM(B2:B5)</f>
        <v>247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</sheetData>
  <pageMargins left="0.7" right="0.7" top="0.75" bottom="0.75" header="0.3" footer="0.3"/>
  <pageSetup orientation="portrait" r:id="rId1"/>
  <headerFooter>
    <oddHeader>&amp;C&amp;"Calibri"&amp;12&amp;K0000FF General access&amp;1#_x000D_</oddHeader>
    <oddFooter>&amp;L&amp;1#&amp;"Calibri"&amp;7&amp;K000000C2 General</oddFooter>
  </headerFooter>
</worksheet>
</file>

<file path=docMetadata/LabelInfo.xml><?xml version="1.0" encoding="utf-8"?>
<clbl:labelList xmlns:clbl="http://schemas.microsoft.com/office/2020/mipLabelMetadata">
  <clbl:label id="{969fc6c2-57e3-4c4e-935f-27f08787152f}" enabled="1" method="Standard" siteId="{526b8ab1-b977-4460-8087-39fd2ef885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Part1 (Raw)</vt:lpstr>
      <vt:lpstr>Part1 (Solved)</vt:lpstr>
      <vt:lpstr>Part2 (Solved)</vt:lpstr>
      <vt:lpstr>Part3 (Solved)</vt:lpstr>
      <vt:lpstr>Part4 (Solved)</vt:lpstr>
      <vt:lpstr>Lab Task</vt:lpstr>
      <vt:lpstr>Lab Task (Solved)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Marmor</dc:creator>
  <cp:lastModifiedBy>Yousra Mohamed Ayman</cp:lastModifiedBy>
  <cp:lastPrinted>2018-02-24T11:19:00Z</cp:lastPrinted>
  <dcterms:created xsi:type="dcterms:W3CDTF">2018-02-23T18:25:29Z</dcterms:created>
  <dcterms:modified xsi:type="dcterms:W3CDTF">2026-10-04T10:36:57Z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f373536-36c5-4fd9-8140-7ddebb8b4638_Enabled">
    <vt:lpwstr>true</vt:lpwstr>
  </property>
  <property fmtid="{D5CDD505-2E9C-101B-9397-08002B2CF9AE}" pid="3" name="MSIP_Label_7f373536-36c5-4fd9-8140-7ddebb8b4638_SetDate">
    <vt:lpwstr>2023-02-27T09:32:38Z</vt:lpwstr>
  </property>
  <property fmtid="{D5CDD505-2E9C-101B-9397-08002B2CF9AE}" pid="4" name="MSIP_Label_7f373536-36c5-4fd9-8140-7ddebb8b4638_Method">
    <vt:lpwstr>Standard</vt:lpwstr>
  </property>
  <property fmtid="{D5CDD505-2E9C-101B-9397-08002B2CF9AE}" pid="5" name="MSIP_Label_7f373536-36c5-4fd9-8140-7ddebb8b4638_Name">
    <vt:lpwstr>C2 General</vt:lpwstr>
  </property>
  <property fmtid="{D5CDD505-2E9C-101B-9397-08002B2CF9AE}" pid="6" name="MSIP_Label_7f373536-36c5-4fd9-8140-7ddebb8b4638_SiteId">
    <vt:lpwstr>28d54ec7-2221-4717-acb0-7f8c37359048</vt:lpwstr>
  </property>
  <property fmtid="{D5CDD505-2E9C-101B-9397-08002B2CF9AE}" pid="7" name="MSIP_Label_7f373536-36c5-4fd9-8140-7ddebb8b4638_ActionId">
    <vt:lpwstr>027d4a3b-2fb8-4ae9-a5ab-721f38572bb3</vt:lpwstr>
  </property>
  <property fmtid="{D5CDD505-2E9C-101B-9397-08002B2CF9AE}" pid="8" name="MSIP_Label_7f373536-36c5-4fd9-8140-7ddebb8b4638_ContentBits">
    <vt:lpwstr>2</vt:lpwstr>
  </property>
  <property fmtid="{D5CDD505-2E9C-101B-9397-08002B2CF9AE}" pid="9" name="MSIP_Label_969fc6c2-57e3-4c4e-935f-27f08787152f_Enabled">
    <vt:lpwstr>true</vt:lpwstr>
  </property>
  <property fmtid="{D5CDD505-2E9C-101B-9397-08002B2CF9AE}" pid="10" name="MSIP_Label_969fc6c2-57e3-4c4e-935f-27f08787152f_SetDate">
    <vt:lpwstr>2025-09-27T11:46:59Z</vt:lpwstr>
  </property>
  <property fmtid="{D5CDD505-2E9C-101B-9397-08002B2CF9AE}" pid="11" name="MSIP_Label_969fc6c2-57e3-4c4e-935f-27f08787152f_Method">
    <vt:lpwstr>Standard</vt:lpwstr>
  </property>
  <property fmtid="{D5CDD505-2E9C-101B-9397-08002B2CF9AE}" pid="12" name="MSIP_Label_969fc6c2-57e3-4c4e-935f-27f08787152f_Name">
    <vt:lpwstr>C1-General access</vt:lpwstr>
  </property>
  <property fmtid="{D5CDD505-2E9C-101B-9397-08002B2CF9AE}" pid="13" name="MSIP_Label_969fc6c2-57e3-4c4e-935f-27f08787152f_SiteId">
    <vt:lpwstr>526b8ab1-b977-4460-8087-39fd2ef8859e</vt:lpwstr>
  </property>
  <property fmtid="{D5CDD505-2E9C-101B-9397-08002B2CF9AE}" pid="14" name="MSIP_Label_969fc6c2-57e3-4c4e-935f-27f08787152f_ActionId">
    <vt:lpwstr>76c00d2d-9b2a-49f8-a541-e1f0c9faf67d</vt:lpwstr>
  </property>
  <property fmtid="{D5CDD505-2E9C-101B-9397-08002B2CF9AE}" pid="15" name="MSIP_Label_969fc6c2-57e3-4c4e-935f-27f08787152f_ContentBits">
    <vt:lpwstr>1</vt:lpwstr>
  </property>
  <property fmtid="{D5CDD505-2E9C-101B-9397-08002B2CF9AE}" pid="16" name="MSIP_Label_969fc6c2-57e3-4c4e-935f-27f08787152f_Tag">
    <vt:lpwstr>10, 3, 0, 1</vt:lpwstr>
  </property>
</Properties>
</file>