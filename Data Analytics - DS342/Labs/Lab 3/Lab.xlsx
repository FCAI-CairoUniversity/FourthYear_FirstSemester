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FCAI\FourthYear_FirstSemester\Data Analytics - DS342\Labs\Lab 3\"/>
    </mc:Choice>
  </mc:AlternateContent>
  <xr:revisionPtr revIDLastSave="0" documentId="13_ncr:1_{05832A64-69C5-4D3F-B14A-48311AD2DC5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ummary" sheetId="12" r:id="rId1"/>
    <sheet name="Prime" sheetId="1" r:id="rId2"/>
    <sheet name="Franchise" sheetId="2" r:id="rId3"/>
    <sheet name="Spend" sheetId="3" r:id="rId4"/>
    <sheet name="Test_Scores " sheetId="11" r:id="rId5"/>
    <sheet name="Tech_Energy" sheetId="14" r:id="rId6"/>
  </sheets>
  <definedNames>
    <definedName name="_xlchart.v1.0" hidden="1">Tech_Energy!$B$1</definedName>
    <definedName name="_xlchart.v1.1" hidden="1">Tech_Energy!$B$2:$B$38</definedName>
    <definedName name="_xlchart.v1.2" hidden="1">Tech_Energy!$C$1</definedName>
    <definedName name="_xlchart.v1.3" hidden="1">Tech_Energy!$C$2:$C$38</definedName>
    <definedName name="_xlchart.v1.4" hidden="1">Tech_Energy!$B$1</definedName>
    <definedName name="_xlchart.v1.5" hidden="1">Tech_Energy!$B$2:$B$38</definedName>
    <definedName name="_xlchart.v1.6" hidden="1">Tech_Energy!$C$1</definedName>
    <definedName name="_xlchart.v1.7" hidden="1">Tech_Energy!$C$2:$C$38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1" l="1"/>
  <c r="H16" i="11"/>
  <c r="F16" i="11"/>
  <c r="K16" i="3"/>
  <c r="I16" i="3"/>
  <c r="F8" i="1"/>
  <c r="F7" i="1"/>
  <c r="F6" i="1"/>
  <c r="F5" i="1"/>
  <c r="F4" i="1"/>
  <c r="F3" i="1"/>
  <c r="F2" i="1"/>
  <c r="A4" i="14" l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</calcChain>
</file>

<file path=xl/sharedStrings.xml><?xml version="1.0" encoding="utf-8"?>
<sst xmlns="http://schemas.openxmlformats.org/spreadsheetml/2006/main" count="1138" uniqueCount="43">
  <si>
    <t>Customer</t>
  </si>
  <si>
    <t>Expenditures</t>
  </si>
  <si>
    <t>Net_Profit</t>
  </si>
  <si>
    <t>Counter_Sales</t>
  </si>
  <si>
    <t>Drive_Sales</t>
  </si>
  <si>
    <t>ID</t>
  </si>
  <si>
    <t>OwnHome</t>
  </si>
  <si>
    <t>OwnCar</t>
  </si>
  <si>
    <t>Food</t>
  </si>
  <si>
    <t>Travel</t>
  </si>
  <si>
    <t>Yes</t>
  </si>
  <si>
    <t>No</t>
  </si>
  <si>
    <t>Final</t>
  </si>
  <si>
    <t>Midterm</t>
  </si>
  <si>
    <r>
      <t>1-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>Measures of Location: mean – median – mode – percentile.</t>
    </r>
  </si>
  <si>
    <r>
      <t>2-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>Measures of dispersion: range - The interquartile range (IQR) - The variance and the standard deviation - The coefficient of variation (CV).</t>
    </r>
  </si>
  <si>
    <r>
      <t>3-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>Measures of Shape: Skewness - The kurtosis coefficient.</t>
    </r>
  </si>
  <si>
    <r>
      <t>4-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>Measure of Association: The correlation coefficient.</t>
    </r>
  </si>
  <si>
    <t>Year</t>
  </si>
  <si>
    <t>Technology</t>
  </si>
  <si>
    <t>Energy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</si>
  <si>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</si>
  <si>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</si>
  <si>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</si>
  <si>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</si>
  <si>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</si>
  <si>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</si>
  <si>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</si>
  <si>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</si>
  <si>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</si>
  <si>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</si>
  <si>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</si>
  <si>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</si>
  <si>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</si>
  <si>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</t>
  </si>
  <si>
    <t>Min</t>
  </si>
  <si>
    <t>Max</t>
  </si>
  <si>
    <t>Manual</t>
  </si>
  <si>
    <t>Q1</t>
  </si>
  <si>
    <t>Q2</t>
  </si>
  <si>
    <t>Q3</t>
  </si>
  <si>
    <t>CV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</si>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</sst>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7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 indent="4"/>
    </xf>
    <xf numFmtId="9" fontId="0" fillId="0" borderId="0" xfId="0" applyNumberFormat="1"/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0" fontId="6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00000000-0032-438A-A053-468B0D8F4E67}">
          <cx:tx>
            <cx:txData>
              <cx:f>_xlchart.v1.0</cx:f>
              <cx:v>Technology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032-438A-A053-468B0D8F4E67}">
          <cx:tx>
            <cx:txData>
              <cx:f>_xlchart.v1.2</cx:f>
              <cx:v>Energy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13</xdr:col>
      <xdr:colOff>476250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8A7DCB-0D09-4D17-23CE-2A78FD0FF5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8143" y="0"/>
              <a:ext cx="5374821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69D7-ACB8-4E20-9E3E-8EDF03B11F3F}">
  <dimension ref="A1:E14"/>
  <sheetViews>
    <sheetView tabSelected="1" workbookViewId="0">
      <selection activeCell="G3" sqref="G3"/>
    </sheetView>
  </sheetViews>
  <sheetFormatPr defaultRowHeight="15" x14ac:dyDescent="0.25"/>
  <sheetData>
    <row r="1" spans="1:5" ht="15.75" x14ac:dyDescent="0.25">
      <c r="B1" s="5" t="s">
        <v>14</v>
      </c>
    </row>
    <row r="2" spans="1:5" ht="15.75" x14ac:dyDescent="0.25">
      <c r="B2" s="5" t="s">
        <v>15</v>
      </c>
    </row>
    <row r="3" spans="1:5" ht="15.75" x14ac:dyDescent="0.25">
      <c r="B3" s="5" t="s">
        <v>16</v>
      </c>
    </row>
    <row r="4" spans="1:5" ht="15.75" x14ac:dyDescent="0.25">
      <c r="B4" s="5" t="s">
        <v>17</v>
      </c>
    </row>
    <row r="9" spans="1:5" x14ac:dyDescent="0.25">
      <c r="C9" s="6"/>
      <c r="D9" s="6"/>
      <c r="E9" s="6"/>
    </row>
    <row r="13" spans="1:5" x14ac:dyDescent="0.25">
      <c r="C13" s="7"/>
      <c r="D13" s="7"/>
    </row>
    <row r="14" spans="1:5" x14ac:dyDescent="0.25">
      <c r="A14" s="7"/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zoomScale="168" workbookViewId="0">
      <selection activeCell="K3" sqref="K3"/>
    </sheetView>
  </sheetViews>
  <sheetFormatPr defaultRowHeight="15" x14ac:dyDescent="0.25"/>
  <cols>
    <col min="1" max="1" width="9.5703125" bestFit="1" customWidth="1"/>
    <col min="2" max="2" width="12.7109375" style="1" bestFit="1" customWidth="1"/>
    <col min="5" max="5" width="18.140625" bestFit="1" customWidth="1"/>
    <col min="6" max="6" width="12.7109375" bestFit="1" customWidth="1"/>
    <col min="9" max="9" width="18.140625" bestFit="1" customWidth="1"/>
    <col min="10" max="10" width="13.85546875" bestFit="1" customWidth="1"/>
  </cols>
  <sheetData>
    <row r="1" spans="1:10" x14ac:dyDescent="0.25">
      <c r="A1" t="s">
        <v>0</v>
      </c>
      <c r="B1" s="1" t="s">
        <v>1</v>
      </c>
      <c r="E1" s="14" t="s">
        <v>37</v>
      </c>
      <c r="F1" s="14"/>
      <c r="I1" s="15" t="s">
        <v>1</v>
      </c>
      <c r="J1" s="12"/>
    </row>
    <row r="2" spans="1:10" x14ac:dyDescent="0.25">
      <c r="A2">
        <v>1</v>
      </c>
      <c r="B2" s="1">
        <v>1272</v>
      </c>
      <c r="E2" t="s">
        <v>34</v>
      </c>
      <c r="F2">
        <f>AVERAGE($B$2:$B$101)</f>
        <v>1306.94</v>
      </c>
      <c r="I2" s="9"/>
      <c r="J2" s="9"/>
    </row>
    <row r="3" spans="1:10" x14ac:dyDescent="0.25">
      <c r="A3">
        <v>2</v>
      </c>
      <c r="B3" s="1">
        <v>1089</v>
      </c>
      <c r="E3" t="s">
        <v>23</v>
      </c>
      <c r="F3">
        <f>MEDIAN($B$2:$B$101)</f>
        <v>1287.5</v>
      </c>
      <c r="I3" s="9" t="s">
        <v>21</v>
      </c>
      <c r="J3" s="9">
        <v>1306.94</v>
      </c>
    </row>
    <row r="4" spans="1:10" x14ac:dyDescent="0.25">
      <c r="A4">
        <v>3</v>
      </c>
      <c r="B4" s="1">
        <v>1169</v>
      </c>
      <c r="E4" t="s">
        <v>35</v>
      </c>
      <c r="F4">
        <f>MIN($B$2:$B$101)</f>
        <v>467</v>
      </c>
      <c r="I4" s="9" t="s">
        <v>22</v>
      </c>
      <c r="J4" s="9">
        <v>33.613545910642443</v>
      </c>
    </row>
    <row r="5" spans="1:10" x14ac:dyDescent="0.25">
      <c r="A5">
        <v>4</v>
      </c>
      <c r="B5" s="1">
        <v>1161</v>
      </c>
      <c r="E5" t="s">
        <v>36</v>
      </c>
      <c r="F5">
        <f>MAX($B$2:$B$101)</f>
        <v>2116</v>
      </c>
      <c r="I5" s="9" t="s">
        <v>23</v>
      </c>
      <c r="J5" s="9">
        <v>1287.5</v>
      </c>
    </row>
    <row r="6" spans="1:10" x14ac:dyDescent="0.25">
      <c r="A6">
        <v>5</v>
      </c>
      <c r="B6" s="1">
        <v>1286</v>
      </c>
      <c r="E6" t="s">
        <v>38</v>
      </c>
      <c r="F6">
        <f>_xlfn.PERCENTILE.INC($B$2:$B$101, 0.25)</f>
        <v>1118.75</v>
      </c>
      <c r="I6" s="9" t="s">
        <v>24</v>
      </c>
      <c r="J6" s="9">
        <v>1272</v>
      </c>
    </row>
    <row r="7" spans="1:10" x14ac:dyDescent="0.25">
      <c r="A7">
        <v>6</v>
      </c>
      <c r="B7" s="1">
        <v>1178</v>
      </c>
      <c r="E7" t="s">
        <v>39</v>
      </c>
      <c r="F7">
        <f>_xlfn.PERCENTILE.INC($B$2:$B$101, 0.5)</f>
        <v>1287.5</v>
      </c>
      <c r="I7" s="9" t="s">
        <v>25</v>
      </c>
      <c r="J7" s="9">
        <v>336.13545910642443</v>
      </c>
    </row>
    <row r="8" spans="1:10" x14ac:dyDescent="0.25">
      <c r="A8">
        <v>7</v>
      </c>
      <c r="B8" s="1">
        <v>658</v>
      </c>
      <c r="E8" t="s">
        <v>40</v>
      </c>
      <c r="F8">
        <f>_xlfn.PERCENTILE.INC($B$2:$B$101, 0.75)</f>
        <v>1574.25</v>
      </c>
      <c r="I8" s="9" t="s">
        <v>26</v>
      </c>
      <c r="J8" s="9">
        <v>112987.04686868672</v>
      </c>
    </row>
    <row r="9" spans="1:10" x14ac:dyDescent="0.25">
      <c r="A9">
        <v>8</v>
      </c>
      <c r="B9" s="1">
        <v>1685</v>
      </c>
      <c r="I9" s="9" t="s">
        <v>27</v>
      </c>
      <c r="J9" s="9">
        <v>-0.18020766122435505</v>
      </c>
    </row>
    <row r="10" spans="1:10" x14ac:dyDescent="0.25">
      <c r="A10">
        <v>9</v>
      </c>
      <c r="B10" s="1">
        <v>587</v>
      </c>
      <c r="I10" s="9" t="s">
        <v>28</v>
      </c>
      <c r="J10" s="9">
        <v>-0.17232911432614151</v>
      </c>
    </row>
    <row r="11" spans="1:10" x14ac:dyDescent="0.25">
      <c r="A11">
        <v>10</v>
      </c>
      <c r="B11" s="1">
        <v>1284</v>
      </c>
      <c r="I11" s="9" t="s">
        <v>29</v>
      </c>
      <c r="J11" s="9">
        <v>1649</v>
      </c>
    </row>
    <row r="12" spans="1:10" x14ac:dyDescent="0.25">
      <c r="A12">
        <v>11</v>
      </c>
      <c r="B12" s="1">
        <v>1786</v>
      </c>
      <c r="I12" s="9" t="s">
        <v>30</v>
      </c>
      <c r="J12" s="9">
        <v>467</v>
      </c>
    </row>
    <row r="13" spans="1:10" x14ac:dyDescent="0.25">
      <c r="A13">
        <v>12</v>
      </c>
      <c r="B13" s="1">
        <v>1379</v>
      </c>
      <c r="I13" s="9" t="s">
        <v>31</v>
      </c>
      <c r="J13" s="9">
        <v>2116</v>
      </c>
    </row>
    <row r="14" spans="1:10" x14ac:dyDescent="0.25">
      <c r="A14">
        <v>13</v>
      </c>
      <c r="B14" s="1">
        <v>1617</v>
      </c>
      <c r="I14" s="9" t="s">
        <v>32</v>
      </c>
      <c r="J14" s="9">
        <v>130694</v>
      </c>
    </row>
    <row r="15" spans="1:10" ht="15.75" thickBot="1" x14ac:dyDescent="0.3">
      <c r="A15">
        <v>14</v>
      </c>
      <c r="B15" s="1">
        <v>1485</v>
      </c>
      <c r="I15" s="10" t="s">
        <v>33</v>
      </c>
      <c r="J15" s="10">
        <v>100</v>
      </c>
    </row>
    <row r="16" spans="1:10" x14ac:dyDescent="0.25">
      <c r="A16">
        <v>15</v>
      </c>
      <c r="B16" s="1">
        <v>1609</v>
      </c>
    </row>
    <row r="17" spans="1:2" x14ac:dyDescent="0.25">
      <c r="A17">
        <v>16</v>
      </c>
      <c r="B17" s="1">
        <v>1612</v>
      </c>
    </row>
    <row r="18" spans="1:2" x14ac:dyDescent="0.25">
      <c r="A18">
        <v>17</v>
      </c>
      <c r="B18" s="1">
        <v>1290</v>
      </c>
    </row>
    <row r="19" spans="1:2" x14ac:dyDescent="0.25">
      <c r="A19">
        <v>18</v>
      </c>
      <c r="B19" s="1">
        <v>715</v>
      </c>
    </row>
    <row r="20" spans="1:2" x14ac:dyDescent="0.25">
      <c r="A20">
        <v>19</v>
      </c>
      <c r="B20" s="1">
        <v>1261</v>
      </c>
    </row>
    <row r="21" spans="1:2" x14ac:dyDescent="0.25">
      <c r="A21">
        <v>20</v>
      </c>
      <c r="B21" s="1">
        <v>1249</v>
      </c>
    </row>
    <row r="22" spans="1:2" x14ac:dyDescent="0.25">
      <c r="A22">
        <v>21</v>
      </c>
      <c r="B22" s="1">
        <v>931</v>
      </c>
    </row>
    <row r="23" spans="1:2" x14ac:dyDescent="0.25">
      <c r="A23">
        <v>22</v>
      </c>
      <c r="B23" s="1">
        <v>1319</v>
      </c>
    </row>
    <row r="24" spans="1:2" x14ac:dyDescent="0.25">
      <c r="A24">
        <v>23</v>
      </c>
      <c r="B24" s="1">
        <v>1246</v>
      </c>
    </row>
    <row r="25" spans="1:2" x14ac:dyDescent="0.25">
      <c r="A25">
        <v>24</v>
      </c>
      <c r="B25" s="1">
        <v>1130</v>
      </c>
    </row>
    <row r="26" spans="1:2" x14ac:dyDescent="0.25">
      <c r="A26">
        <v>25</v>
      </c>
      <c r="B26" s="1">
        <v>1271</v>
      </c>
    </row>
    <row r="27" spans="1:2" x14ac:dyDescent="0.25">
      <c r="A27">
        <v>26</v>
      </c>
      <c r="B27" s="1">
        <v>1627</v>
      </c>
    </row>
    <row r="28" spans="1:2" x14ac:dyDescent="0.25">
      <c r="A28">
        <v>27</v>
      </c>
      <c r="B28" s="1">
        <v>1625</v>
      </c>
    </row>
    <row r="29" spans="1:2" x14ac:dyDescent="0.25">
      <c r="A29">
        <v>28</v>
      </c>
      <c r="B29" s="1">
        <v>1565</v>
      </c>
    </row>
    <row r="30" spans="1:2" x14ac:dyDescent="0.25">
      <c r="A30">
        <v>29</v>
      </c>
      <c r="B30" s="1">
        <v>2026</v>
      </c>
    </row>
    <row r="31" spans="1:2" x14ac:dyDescent="0.25">
      <c r="A31">
        <v>30</v>
      </c>
      <c r="B31" s="1">
        <v>1078</v>
      </c>
    </row>
    <row r="32" spans="1:2" x14ac:dyDescent="0.25">
      <c r="A32">
        <v>31</v>
      </c>
      <c r="B32" s="1">
        <v>751</v>
      </c>
    </row>
    <row r="33" spans="1:2" x14ac:dyDescent="0.25">
      <c r="A33">
        <v>32</v>
      </c>
      <c r="B33" s="1">
        <v>645</v>
      </c>
    </row>
    <row r="34" spans="1:2" x14ac:dyDescent="0.25">
      <c r="A34">
        <v>33</v>
      </c>
      <c r="B34" s="1">
        <v>1351</v>
      </c>
    </row>
    <row r="35" spans="1:2" x14ac:dyDescent="0.25">
      <c r="A35">
        <v>34</v>
      </c>
      <c r="B35" s="1">
        <v>1664</v>
      </c>
    </row>
    <row r="36" spans="1:2" x14ac:dyDescent="0.25">
      <c r="A36">
        <v>35</v>
      </c>
      <c r="B36" s="1">
        <v>887</v>
      </c>
    </row>
    <row r="37" spans="1:2" x14ac:dyDescent="0.25">
      <c r="A37">
        <v>36</v>
      </c>
      <c r="B37" s="1">
        <v>1091</v>
      </c>
    </row>
    <row r="38" spans="1:2" x14ac:dyDescent="0.25">
      <c r="A38">
        <v>37</v>
      </c>
      <c r="B38" s="1">
        <v>1203</v>
      </c>
    </row>
    <row r="39" spans="1:2" x14ac:dyDescent="0.25">
      <c r="A39">
        <v>38</v>
      </c>
      <c r="B39" s="1">
        <v>899</v>
      </c>
    </row>
    <row r="40" spans="1:2" x14ac:dyDescent="0.25">
      <c r="A40">
        <v>39</v>
      </c>
      <c r="B40" s="1">
        <v>1165</v>
      </c>
    </row>
    <row r="41" spans="1:2" x14ac:dyDescent="0.25">
      <c r="A41">
        <v>40</v>
      </c>
      <c r="B41" s="1">
        <v>1573</v>
      </c>
    </row>
    <row r="42" spans="1:2" x14ac:dyDescent="0.25">
      <c r="A42">
        <v>41</v>
      </c>
      <c r="B42" s="1">
        <v>994</v>
      </c>
    </row>
    <row r="43" spans="1:2" x14ac:dyDescent="0.25">
      <c r="A43">
        <v>42</v>
      </c>
      <c r="B43" s="1">
        <v>1937</v>
      </c>
    </row>
    <row r="44" spans="1:2" x14ac:dyDescent="0.25">
      <c r="A44">
        <v>43</v>
      </c>
      <c r="B44" s="1">
        <v>1456</v>
      </c>
    </row>
    <row r="45" spans="1:2" x14ac:dyDescent="0.25">
      <c r="A45">
        <v>44</v>
      </c>
      <c r="B45" s="1">
        <v>1166</v>
      </c>
    </row>
    <row r="46" spans="1:2" x14ac:dyDescent="0.25">
      <c r="A46">
        <v>45</v>
      </c>
      <c r="B46" s="1">
        <v>1269</v>
      </c>
    </row>
    <row r="47" spans="1:2" x14ac:dyDescent="0.25">
      <c r="A47">
        <v>46</v>
      </c>
      <c r="B47" s="1">
        <v>1289</v>
      </c>
    </row>
    <row r="48" spans="1:2" x14ac:dyDescent="0.25">
      <c r="A48">
        <v>47</v>
      </c>
      <c r="B48" s="1">
        <v>1067</v>
      </c>
    </row>
    <row r="49" spans="1:2" x14ac:dyDescent="0.25">
      <c r="A49">
        <v>48</v>
      </c>
      <c r="B49" s="1">
        <v>1625</v>
      </c>
    </row>
    <row r="50" spans="1:2" x14ac:dyDescent="0.25">
      <c r="A50">
        <v>49</v>
      </c>
      <c r="B50" s="1">
        <v>805</v>
      </c>
    </row>
    <row r="51" spans="1:2" x14ac:dyDescent="0.25">
      <c r="A51">
        <v>50</v>
      </c>
      <c r="B51" s="1">
        <v>1462</v>
      </c>
    </row>
    <row r="52" spans="1:2" x14ac:dyDescent="0.25">
      <c r="A52">
        <v>51</v>
      </c>
      <c r="B52" s="1">
        <v>1653</v>
      </c>
    </row>
    <row r="53" spans="1:2" x14ac:dyDescent="0.25">
      <c r="A53">
        <v>52</v>
      </c>
      <c r="B53" s="1">
        <v>1942</v>
      </c>
    </row>
    <row r="54" spans="1:2" x14ac:dyDescent="0.25">
      <c r="A54">
        <v>53</v>
      </c>
      <c r="B54" s="1">
        <v>942</v>
      </c>
    </row>
    <row r="55" spans="1:2" x14ac:dyDescent="0.25">
      <c r="A55">
        <v>54</v>
      </c>
      <c r="B55" s="1">
        <v>1713</v>
      </c>
    </row>
    <row r="56" spans="1:2" x14ac:dyDescent="0.25">
      <c r="A56">
        <v>55</v>
      </c>
      <c r="B56" s="1">
        <v>1621</v>
      </c>
    </row>
    <row r="57" spans="1:2" x14ac:dyDescent="0.25">
      <c r="A57">
        <v>56</v>
      </c>
      <c r="B57" s="1">
        <v>1472</v>
      </c>
    </row>
    <row r="58" spans="1:2" x14ac:dyDescent="0.25">
      <c r="A58">
        <v>57</v>
      </c>
      <c r="B58" s="1">
        <v>1274</v>
      </c>
    </row>
    <row r="59" spans="1:2" x14ac:dyDescent="0.25">
      <c r="A59">
        <v>58</v>
      </c>
      <c r="B59" s="1">
        <v>1378</v>
      </c>
    </row>
    <row r="60" spans="1:2" x14ac:dyDescent="0.25">
      <c r="A60">
        <v>59</v>
      </c>
      <c r="B60" s="1">
        <v>1272</v>
      </c>
    </row>
    <row r="61" spans="1:2" x14ac:dyDescent="0.25">
      <c r="A61">
        <v>60</v>
      </c>
      <c r="B61" s="1">
        <v>1142</v>
      </c>
    </row>
    <row r="62" spans="1:2" x14ac:dyDescent="0.25">
      <c r="A62">
        <v>61</v>
      </c>
      <c r="B62" s="1">
        <v>1175</v>
      </c>
    </row>
    <row r="63" spans="1:2" x14ac:dyDescent="0.25">
      <c r="A63">
        <v>62</v>
      </c>
      <c r="B63" s="1">
        <v>1412</v>
      </c>
    </row>
    <row r="64" spans="1:2" x14ac:dyDescent="0.25">
      <c r="A64">
        <v>63</v>
      </c>
      <c r="B64" s="1">
        <v>1493</v>
      </c>
    </row>
    <row r="65" spans="1:2" x14ac:dyDescent="0.25">
      <c r="A65">
        <v>64</v>
      </c>
      <c r="B65" s="1">
        <v>774</v>
      </c>
    </row>
    <row r="66" spans="1:2" x14ac:dyDescent="0.25">
      <c r="A66">
        <v>65</v>
      </c>
      <c r="B66" s="1">
        <v>597</v>
      </c>
    </row>
    <row r="67" spans="1:2" x14ac:dyDescent="0.25">
      <c r="A67">
        <v>66</v>
      </c>
      <c r="B67" s="1">
        <v>991</v>
      </c>
    </row>
    <row r="68" spans="1:2" x14ac:dyDescent="0.25">
      <c r="A68">
        <v>67</v>
      </c>
      <c r="B68" s="1">
        <v>926</v>
      </c>
    </row>
    <row r="69" spans="1:2" x14ac:dyDescent="0.25">
      <c r="A69">
        <v>68</v>
      </c>
      <c r="B69" s="1">
        <v>467</v>
      </c>
    </row>
    <row r="70" spans="1:2" x14ac:dyDescent="0.25">
      <c r="A70">
        <v>69</v>
      </c>
      <c r="B70" s="1">
        <v>1578</v>
      </c>
    </row>
    <row r="71" spans="1:2" x14ac:dyDescent="0.25">
      <c r="A71">
        <v>70</v>
      </c>
      <c r="B71" s="1">
        <v>1797</v>
      </c>
    </row>
    <row r="72" spans="1:2" x14ac:dyDescent="0.25">
      <c r="A72">
        <v>71</v>
      </c>
      <c r="B72" s="1">
        <v>1798</v>
      </c>
    </row>
    <row r="73" spans="1:2" x14ac:dyDescent="0.25">
      <c r="A73">
        <v>72</v>
      </c>
      <c r="B73" s="1">
        <v>1604</v>
      </c>
    </row>
    <row r="74" spans="1:2" x14ac:dyDescent="0.25">
      <c r="A74">
        <v>73</v>
      </c>
      <c r="B74" s="1">
        <v>1586</v>
      </c>
    </row>
    <row r="75" spans="1:2" x14ac:dyDescent="0.25">
      <c r="A75">
        <v>74</v>
      </c>
      <c r="B75" s="1">
        <v>1169</v>
      </c>
    </row>
    <row r="76" spans="1:2" x14ac:dyDescent="0.25">
      <c r="A76">
        <v>75</v>
      </c>
      <c r="B76" s="1">
        <v>1375</v>
      </c>
    </row>
    <row r="77" spans="1:2" x14ac:dyDescent="0.25">
      <c r="A77">
        <v>76</v>
      </c>
      <c r="B77" s="1">
        <v>1344</v>
      </c>
    </row>
    <row r="78" spans="1:2" x14ac:dyDescent="0.25">
      <c r="A78">
        <v>77</v>
      </c>
      <c r="B78" s="1">
        <v>1436</v>
      </c>
    </row>
    <row r="79" spans="1:2" x14ac:dyDescent="0.25">
      <c r="A79">
        <v>78</v>
      </c>
      <c r="B79" s="1">
        <v>2116</v>
      </c>
    </row>
    <row r="80" spans="1:2" x14ac:dyDescent="0.25">
      <c r="A80">
        <v>79</v>
      </c>
      <c r="B80" s="1">
        <v>1321</v>
      </c>
    </row>
    <row r="81" spans="1:2" x14ac:dyDescent="0.25">
      <c r="A81">
        <v>80</v>
      </c>
      <c r="B81" s="1">
        <v>1237</v>
      </c>
    </row>
    <row r="82" spans="1:2" x14ac:dyDescent="0.25">
      <c r="A82">
        <v>81</v>
      </c>
      <c r="B82" s="1">
        <v>1665</v>
      </c>
    </row>
    <row r="83" spans="1:2" x14ac:dyDescent="0.25">
      <c r="A83">
        <v>82</v>
      </c>
      <c r="B83" s="1">
        <v>1564</v>
      </c>
    </row>
    <row r="84" spans="1:2" x14ac:dyDescent="0.25">
      <c r="A84">
        <v>83</v>
      </c>
      <c r="B84" s="1">
        <v>1127</v>
      </c>
    </row>
    <row r="85" spans="1:2" x14ac:dyDescent="0.25">
      <c r="A85">
        <v>84</v>
      </c>
      <c r="B85" s="1">
        <v>1673</v>
      </c>
    </row>
    <row r="86" spans="1:2" x14ac:dyDescent="0.25">
      <c r="A86">
        <v>85</v>
      </c>
      <c r="B86" s="1">
        <v>1094</v>
      </c>
    </row>
    <row r="87" spans="1:2" x14ac:dyDescent="0.25">
      <c r="A87">
        <v>86</v>
      </c>
      <c r="B87" s="1">
        <v>1180</v>
      </c>
    </row>
    <row r="88" spans="1:2" x14ac:dyDescent="0.25">
      <c r="A88">
        <v>87</v>
      </c>
      <c r="B88" s="1">
        <v>1781</v>
      </c>
    </row>
    <row r="89" spans="1:2" x14ac:dyDescent="0.25">
      <c r="A89">
        <v>88</v>
      </c>
      <c r="B89" s="1">
        <v>1606</v>
      </c>
    </row>
    <row r="90" spans="1:2" x14ac:dyDescent="0.25">
      <c r="A90">
        <v>89</v>
      </c>
      <c r="B90" s="1">
        <v>1185</v>
      </c>
    </row>
    <row r="91" spans="1:2" x14ac:dyDescent="0.25">
      <c r="A91">
        <v>90</v>
      </c>
      <c r="B91" s="1">
        <v>1515</v>
      </c>
    </row>
    <row r="92" spans="1:2" x14ac:dyDescent="0.25">
      <c r="A92">
        <v>91</v>
      </c>
      <c r="B92" s="1">
        <v>1383</v>
      </c>
    </row>
    <row r="93" spans="1:2" x14ac:dyDescent="0.25">
      <c r="A93">
        <v>92</v>
      </c>
      <c r="B93" s="1">
        <v>1494</v>
      </c>
    </row>
    <row r="94" spans="1:2" x14ac:dyDescent="0.25">
      <c r="A94">
        <v>93</v>
      </c>
      <c r="B94" s="1">
        <v>892</v>
      </c>
    </row>
    <row r="95" spans="1:2" x14ac:dyDescent="0.25">
      <c r="A95">
        <v>94</v>
      </c>
      <c r="B95" s="1">
        <v>878</v>
      </c>
    </row>
    <row r="96" spans="1:2" x14ac:dyDescent="0.25">
      <c r="A96">
        <v>95</v>
      </c>
      <c r="B96" s="1">
        <v>1487</v>
      </c>
    </row>
    <row r="97" spans="1:2" x14ac:dyDescent="0.25">
      <c r="A97">
        <v>96</v>
      </c>
      <c r="B97" s="1">
        <v>1039</v>
      </c>
    </row>
    <row r="98" spans="1:2" x14ac:dyDescent="0.25">
      <c r="A98">
        <v>97</v>
      </c>
      <c r="B98" s="1">
        <v>934</v>
      </c>
    </row>
    <row r="99" spans="1:2" x14ac:dyDescent="0.25">
      <c r="A99">
        <v>98</v>
      </c>
      <c r="B99" s="1">
        <v>1153</v>
      </c>
    </row>
    <row r="100" spans="1:2" x14ac:dyDescent="0.25">
      <c r="A100">
        <v>99</v>
      </c>
      <c r="B100" s="1">
        <v>1561</v>
      </c>
    </row>
    <row r="101" spans="1:2" x14ac:dyDescent="0.25">
      <c r="A101">
        <v>100</v>
      </c>
      <c r="B101" s="1">
        <v>1389</v>
      </c>
    </row>
  </sheetData>
  <mergeCells count="1">
    <mergeCell ref="E1:F1"/>
  </mergeCells>
  <pageMargins left="0.7" right="0.7" top="0.75" bottom="0.75" header="0.3" footer="0.3"/>
  <pageSetup orientation="portrait" r:id="rId1"/>
  <headerFooter>
    <oddHeader>&amp;C&amp;"Aptos"&amp;12&amp;K0000FF General access&amp;1#_x000D_</oddHeader>
  </headerFooter>
  <ignoredErrors>
    <ignoredError sqref="F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zoomScale="157" workbookViewId="0">
      <selection activeCell="H17" sqref="H17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0.7109375" bestFit="1" customWidth="1"/>
    <col min="6" max="6" width="18.140625" bestFit="1" customWidth="1"/>
    <col min="7" max="7" width="13.5703125" bestFit="1" customWidth="1"/>
    <col min="8" max="8" width="18.140625" bestFit="1" customWidth="1"/>
    <col min="9" max="9" width="13.5703125" bestFit="1" customWidth="1"/>
    <col min="10" max="10" width="18.140625" bestFit="1" customWidth="1"/>
  </cols>
  <sheetData>
    <row r="1" spans="1:11" x14ac:dyDescent="0.25">
      <c r="A1" s="2" t="s">
        <v>2</v>
      </c>
      <c r="B1" s="2" t="s">
        <v>3</v>
      </c>
      <c r="C1" s="2" t="s">
        <v>4</v>
      </c>
      <c r="F1" s="16" t="s">
        <v>2</v>
      </c>
      <c r="G1" s="16"/>
      <c r="H1" s="16" t="s">
        <v>3</v>
      </c>
      <c r="I1" s="16"/>
      <c r="J1" s="16" t="s">
        <v>4</v>
      </c>
      <c r="K1" s="11"/>
    </row>
    <row r="2" spans="1:11" x14ac:dyDescent="0.25">
      <c r="A2" s="3">
        <v>1.5</v>
      </c>
      <c r="B2" s="3">
        <v>8.4</v>
      </c>
      <c r="C2" s="3">
        <v>7.7</v>
      </c>
      <c r="F2" s="9"/>
      <c r="G2" s="9"/>
      <c r="H2" s="9"/>
      <c r="I2" s="9"/>
      <c r="J2" s="9"/>
      <c r="K2" s="9"/>
    </row>
    <row r="3" spans="1:11" x14ac:dyDescent="0.25">
      <c r="A3" s="3">
        <v>0.8</v>
      </c>
      <c r="B3" s="3">
        <v>3.3</v>
      </c>
      <c r="C3" s="3">
        <v>4.5</v>
      </c>
      <c r="F3" s="9" t="s">
        <v>21</v>
      </c>
      <c r="G3" s="9">
        <v>0.89599999999999946</v>
      </c>
      <c r="H3" s="9" t="s">
        <v>21</v>
      </c>
      <c r="I3" s="9">
        <v>6.522999999999997</v>
      </c>
      <c r="J3" s="9" t="s">
        <v>21</v>
      </c>
      <c r="K3" s="9">
        <v>4.7619999999999987</v>
      </c>
    </row>
    <row r="4" spans="1:11" x14ac:dyDescent="0.25">
      <c r="A4" s="3">
        <v>1.2</v>
      </c>
      <c r="B4" s="3">
        <v>5.8</v>
      </c>
      <c r="C4" s="3">
        <v>8.4</v>
      </c>
      <c r="F4" s="9" t="s">
        <v>22</v>
      </c>
      <c r="G4" s="9">
        <v>4.3086007478113406E-2</v>
      </c>
      <c r="H4" s="9" t="s">
        <v>22</v>
      </c>
      <c r="I4" s="9">
        <v>0.20144355301301045</v>
      </c>
      <c r="J4" s="9" t="s">
        <v>22</v>
      </c>
      <c r="K4" s="9">
        <v>0.22828645836033967</v>
      </c>
    </row>
    <row r="5" spans="1:11" x14ac:dyDescent="0.25">
      <c r="A5" s="3">
        <v>1.4</v>
      </c>
      <c r="B5" s="3">
        <v>10</v>
      </c>
      <c r="C5" s="3">
        <v>7.8</v>
      </c>
      <c r="F5" s="9" t="s">
        <v>23</v>
      </c>
      <c r="G5" s="9">
        <v>0.8</v>
      </c>
      <c r="H5" s="9" t="s">
        <v>23</v>
      </c>
      <c r="I5" s="9">
        <v>6.1</v>
      </c>
      <c r="J5" s="9" t="s">
        <v>23</v>
      </c>
      <c r="K5" s="9">
        <v>4.3499999999999996</v>
      </c>
    </row>
    <row r="6" spans="1:11" x14ac:dyDescent="0.25">
      <c r="A6" s="3">
        <v>0.2</v>
      </c>
      <c r="B6" s="3">
        <v>4.7</v>
      </c>
      <c r="C6" s="3">
        <v>2.4</v>
      </c>
      <c r="F6" s="9" t="s">
        <v>24</v>
      </c>
      <c r="G6" s="9">
        <v>0.6</v>
      </c>
      <c r="H6" s="9" t="s">
        <v>24</v>
      </c>
      <c r="I6" s="9">
        <v>8.4</v>
      </c>
      <c r="J6" s="9" t="s">
        <v>24</v>
      </c>
      <c r="K6" s="9">
        <v>7.7</v>
      </c>
    </row>
    <row r="7" spans="1:11" x14ac:dyDescent="0.25">
      <c r="A7" s="3">
        <v>0.8</v>
      </c>
      <c r="B7" s="3">
        <v>7.7</v>
      </c>
      <c r="C7" s="3">
        <v>4.8</v>
      </c>
      <c r="F7" s="9" t="s">
        <v>25</v>
      </c>
      <c r="G7" s="9">
        <v>0.43086007478113408</v>
      </c>
      <c r="H7" s="9" t="s">
        <v>25</v>
      </c>
      <c r="I7" s="9">
        <v>2.0144355301301045</v>
      </c>
      <c r="J7" s="9" t="s">
        <v>25</v>
      </c>
      <c r="K7" s="9">
        <v>2.2828645836033967</v>
      </c>
    </row>
    <row r="8" spans="1:11" x14ac:dyDescent="0.25">
      <c r="A8" s="3">
        <v>0.6</v>
      </c>
      <c r="B8" s="3">
        <v>4.5</v>
      </c>
      <c r="C8" s="3">
        <v>2.5</v>
      </c>
      <c r="F8" s="9" t="s">
        <v>26</v>
      </c>
      <c r="G8" s="9">
        <v>0.18564040404040447</v>
      </c>
      <c r="H8" s="9" t="s">
        <v>26</v>
      </c>
      <c r="I8" s="9">
        <v>4.0579505050505542</v>
      </c>
      <c r="J8" s="9" t="s">
        <v>26</v>
      </c>
      <c r="K8" s="9">
        <v>5.2114707070707098</v>
      </c>
    </row>
    <row r="9" spans="1:11" x14ac:dyDescent="0.25">
      <c r="A9" s="3">
        <v>1.3</v>
      </c>
      <c r="B9" s="3">
        <v>8.6</v>
      </c>
      <c r="C9" s="3">
        <v>3.4</v>
      </c>
      <c r="F9" s="9" t="s">
        <v>27</v>
      </c>
      <c r="G9" s="9">
        <v>-1.2675145693339613</v>
      </c>
      <c r="H9" s="9" t="s">
        <v>27</v>
      </c>
      <c r="I9" s="9">
        <v>-1.0421464869416499</v>
      </c>
      <c r="J9" s="9" t="s">
        <v>27</v>
      </c>
      <c r="K9" s="9">
        <v>-1.3124138734061679</v>
      </c>
    </row>
    <row r="10" spans="1:11" x14ac:dyDescent="0.25">
      <c r="A10" s="3">
        <v>0.4</v>
      </c>
      <c r="B10" s="3">
        <v>5.9</v>
      </c>
      <c r="C10" s="3">
        <v>2</v>
      </c>
      <c r="F10" s="9" t="s">
        <v>28</v>
      </c>
      <c r="G10" s="9">
        <v>1.3987773698610659E-2</v>
      </c>
      <c r="H10" s="9" t="s">
        <v>28</v>
      </c>
      <c r="I10" s="9">
        <v>0.13770971302886476</v>
      </c>
      <c r="J10" s="9" t="s">
        <v>28</v>
      </c>
      <c r="K10" s="9">
        <v>0.4586717819417962</v>
      </c>
    </row>
    <row r="11" spans="1:11" x14ac:dyDescent="0.25">
      <c r="A11" s="3">
        <v>0.6</v>
      </c>
      <c r="B11" s="3">
        <v>6.3</v>
      </c>
      <c r="C11" s="3">
        <v>4.0999999999999996</v>
      </c>
      <c r="F11" s="9" t="s">
        <v>29</v>
      </c>
      <c r="G11" s="9">
        <v>1.5</v>
      </c>
      <c r="H11" s="9" t="s">
        <v>29</v>
      </c>
      <c r="I11" s="9">
        <v>6.7</v>
      </c>
      <c r="J11" s="9" t="s">
        <v>29</v>
      </c>
      <c r="K11" s="9">
        <v>6.4</v>
      </c>
    </row>
    <row r="12" spans="1:11" x14ac:dyDescent="0.25">
      <c r="A12" s="3">
        <v>1.5</v>
      </c>
      <c r="B12" s="3">
        <v>8.4</v>
      </c>
      <c r="C12" s="3">
        <v>7.7</v>
      </c>
      <c r="F12" s="9" t="s">
        <v>30</v>
      </c>
      <c r="G12" s="9">
        <v>0.2</v>
      </c>
      <c r="H12" s="9" t="s">
        <v>30</v>
      </c>
      <c r="I12" s="9">
        <v>3.3</v>
      </c>
      <c r="J12" s="9" t="s">
        <v>30</v>
      </c>
      <c r="K12" s="9">
        <v>2</v>
      </c>
    </row>
    <row r="13" spans="1:11" x14ac:dyDescent="0.25">
      <c r="A13" s="3">
        <v>0.8</v>
      </c>
      <c r="B13" s="3">
        <v>3.3</v>
      </c>
      <c r="C13" s="3">
        <v>4.5</v>
      </c>
      <c r="F13" s="9" t="s">
        <v>31</v>
      </c>
      <c r="G13" s="9">
        <v>1.7</v>
      </c>
      <c r="H13" s="9" t="s">
        <v>31</v>
      </c>
      <c r="I13" s="9">
        <v>10</v>
      </c>
      <c r="J13" s="9" t="s">
        <v>31</v>
      </c>
      <c r="K13" s="9">
        <v>8.4</v>
      </c>
    </row>
    <row r="14" spans="1:11" x14ac:dyDescent="0.25">
      <c r="A14" s="3">
        <v>1.2</v>
      </c>
      <c r="B14" s="3">
        <v>5.8</v>
      </c>
      <c r="C14" s="3">
        <v>8.4</v>
      </c>
      <c r="F14" s="9" t="s">
        <v>32</v>
      </c>
      <c r="G14" s="9">
        <v>89.599999999999952</v>
      </c>
      <c r="H14" s="9" t="s">
        <v>32</v>
      </c>
      <c r="I14" s="9">
        <v>652.29999999999973</v>
      </c>
      <c r="J14" s="9" t="s">
        <v>32</v>
      </c>
      <c r="K14" s="9">
        <v>476.19999999999987</v>
      </c>
    </row>
    <row r="15" spans="1:11" ht="15.75" thickBot="1" x14ac:dyDescent="0.3">
      <c r="A15" s="3">
        <v>1.4</v>
      </c>
      <c r="B15" s="3">
        <v>10</v>
      </c>
      <c r="C15" s="3">
        <v>7.8</v>
      </c>
      <c r="F15" s="10" t="s">
        <v>33</v>
      </c>
      <c r="G15" s="10">
        <v>100</v>
      </c>
      <c r="H15" s="10" t="s">
        <v>33</v>
      </c>
      <c r="I15" s="10">
        <v>100</v>
      </c>
      <c r="J15" s="10" t="s">
        <v>33</v>
      </c>
      <c r="K15" s="10">
        <v>100</v>
      </c>
    </row>
    <row r="16" spans="1:11" x14ac:dyDescent="0.25">
      <c r="A16" s="3">
        <v>0.2</v>
      </c>
      <c r="B16" s="3">
        <v>4.7</v>
      </c>
      <c r="C16" s="3">
        <v>2.4</v>
      </c>
    </row>
    <row r="17" spans="1:3" x14ac:dyDescent="0.25">
      <c r="A17" s="3">
        <v>0.8</v>
      </c>
      <c r="B17" s="3">
        <v>7.7</v>
      </c>
      <c r="C17" s="3">
        <v>4.8</v>
      </c>
    </row>
    <row r="18" spans="1:3" x14ac:dyDescent="0.25">
      <c r="A18" s="3">
        <v>0.6</v>
      </c>
      <c r="B18" s="3">
        <v>4.5</v>
      </c>
      <c r="C18" s="3">
        <v>2.5</v>
      </c>
    </row>
    <row r="19" spans="1:3" x14ac:dyDescent="0.25">
      <c r="A19" s="3">
        <v>1.3</v>
      </c>
      <c r="B19" s="3">
        <v>8.6</v>
      </c>
      <c r="C19" s="3">
        <v>3.4</v>
      </c>
    </row>
    <row r="20" spans="1:3" x14ac:dyDescent="0.25">
      <c r="A20" s="3">
        <v>0.4</v>
      </c>
      <c r="B20" s="3">
        <v>5.9</v>
      </c>
      <c r="C20" s="3">
        <v>2</v>
      </c>
    </row>
    <row r="21" spans="1:3" x14ac:dyDescent="0.25">
      <c r="A21" s="3">
        <v>0.6</v>
      </c>
      <c r="B21" s="3">
        <v>6.3</v>
      </c>
      <c r="C21" s="3">
        <v>4.0999999999999996</v>
      </c>
    </row>
    <row r="22" spans="1:3" x14ac:dyDescent="0.25">
      <c r="A22" s="3">
        <v>1.5</v>
      </c>
      <c r="B22" s="3">
        <v>8.4</v>
      </c>
      <c r="C22" s="3">
        <v>7.7</v>
      </c>
    </row>
    <row r="23" spans="1:3" x14ac:dyDescent="0.25">
      <c r="A23" s="3">
        <v>0.8</v>
      </c>
      <c r="B23" s="3">
        <v>3.3</v>
      </c>
      <c r="C23" s="3">
        <v>4.5</v>
      </c>
    </row>
    <row r="24" spans="1:3" x14ac:dyDescent="0.25">
      <c r="A24" s="3">
        <v>1.2</v>
      </c>
      <c r="B24" s="3">
        <v>5.8</v>
      </c>
      <c r="C24" s="3">
        <v>8.4</v>
      </c>
    </row>
    <row r="25" spans="1:3" x14ac:dyDescent="0.25">
      <c r="A25" s="3">
        <v>1.4</v>
      </c>
      <c r="B25" s="3">
        <v>10</v>
      </c>
      <c r="C25" s="3">
        <v>7.8</v>
      </c>
    </row>
    <row r="26" spans="1:3" x14ac:dyDescent="0.25">
      <c r="A26" s="3">
        <v>0.2</v>
      </c>
      <c r="B26" s="3">
        <v>4.7</v>
      </c>
      <c r="C26" s="3">
        <v>2.4</v>
      </c>
    </row>
    <row r="27" spans="1:3" x14ac:dyDescent="0.25">
      <c r="A27" s="3">
        <v>0.8</v>
      </c>
      <c r="B27" s="3">
        <v>7.7</v>
      </c>
      <c r="C27" s="3">
        <v>4.8</v>
      </c>
    </row>
    <row r="28" spans="1:3" x14ac:dyDescent="0.25">
      <c r="A28" s="3">
        <v>0.6</v>
      </c>
      <c r="B28" s="3">
        <v>4.5</v>
      </c>
      <c r="C28" s="3">
        <v>2.5</v>
      </c>
    </row>
    <row r="29" spans="1:3" x14ac:dyDescent="0.25">
      <c r="A29" s="3">
        <v>1.3</v>
      </c>
      <c r="B29" s="3">
        <v>8.6</v>
      </c>
      <c r="C29" s="3">
        <v>3.4</v>
      </c>
    </row>
    <row r="30" spans="1:3" x14ac:dyDescent="0.25">
      <c r="A30" s="3">
        <v>0.4</v>
      </c>
      <c r="B30" s="3">
        <v>5.9</v>
      </c>
      <c r="C30" s="3">
        <v>2</v>
      </c>
    </row>
    <row r="31" spans="1:3" x14ac:dyDescent="0.25">
      <c r="A31" s="3">
        <v>0.6</v>
      </c>
      <c r="B31" s="3">
        <v>6.3</v>
      </c>
      <c r="C31" s="3">
        <v>4.0999999999999996</v>
      </c>
    </row>
    <row r="32" spans="1:3" x14ac:dyDescent="0.25">
      <c r="A32" s="3">
        <v>1.5</v>
      </c>
      <c r="B32" s="3">
        <v>8.4</v>
      </c>
      <c r="C32" s="3">
        <v>7.7</v>
      </c>
    </row>
    <row r="33" spans="1:3" x14ac:dyDescent="0.25">
      <c r="A33" s="3">
        <v>0.8</v>
      </c>
      <c r="B33" s="3">
        <v>3.3</v>
      </c>
      <c r="C33" s="3">
        <v>4.5</v>
      </c>
    </row>
    <row r="34" spans="1:3" x14ac:dyDescent="0.25">
      <c r="A34" s="3">
        <v>1.2</v>
      </c>
      <c r="B34" s="3">
        <v>5.8</v>
      </c>
      <c r="C34" s="3">
        <v>8.4</v>
      </c>
    </row>
    <row r="35" spans="1:3" x14ac:dyDescent="0.25">
      <c r="A35" s="3">
        <v>1.4</v>
      </c>
      <c r="B35" s="3">
        <v>10</v>
      </c>
      <c r="C35" s="3">
        <v>7.8</v>
      </c>
    </row>
    <row r="36" spans="1:3" x14ac:dyDescent="0.25">
      <c r="A36" s="3">
        <v>0.2</v>
      </c>
      <c r="B36" s="3">
        <v>4.7</v>
      </c>
      <c r="C36" s="3">
        <v>2.4</v>
      </c>
    </row>
    <row r="37" spans="1:3" x14ac:dyDescent="0.25">
      <c r="A37" s="3">
        <v>0.8</v>
      </c>
      <c r="B37" s="3">
        <v>7.7</v>
      </c>
      <c r="C37" s="3">
        <v>4.8</v>
      </c>
    </row>
    <row r="38" spans="1:3" x14ac:dyDescent="0.25">
      <c r="A38" s="3">
        <v>0.6</v>
      </c>
      <c r="B38" s="3">
        <v>4.5</v>
      </c>
      <c r="C38" s="3">
        <v>2.5</v>
      </c>
    </row>
    <row r="39" spans="1:3" x14ac:dyDescent="0.25">
      <c r="A39" s="3">
        <v>1.3</v>
      </c>
      <c r="B39" s="3">
        <v>8.6</v>
      </c>
      <c r="C39" s="3">
        <v>3.4</v>
      </c>
    </row>
    <row r="40" spans="1:3" x14ac:dyDescent="0.25">
      <c r="A40" s="3">
        <v>0.4</v>
      </c>
      <c r="B40" s="3">
        <v>5.9</v>
      </c>
      <c r="C40" s="3">
        <v>2</v>
      </c>
    </row>
    <row r="41" spans="1:3" x14ac:dyDescent="0.25">
      <c r="A41" s="3">
        <v>0.6</v>
      </c>
      <c r="B41" s="3">
        <v>6.3</v>
      </c>
      <c r="C41" s="3">
        <v>4.0999999999999996</v>
      </c>
    </row>
    <row r="42" spans="1:3" x14ac:dyDescent="0.25">
      <c r="A42" s="3">
        <v>1.5</v>
      </c>
      <c r="B42" s="3">
        <v>8.4</v>
      </c>
      <c r="C42" s="3">
        <v>7.7</v>
      </c>
    </row>
    <row r="43" spans="1:3" x14ac:dyDescent="0.25">
      <c r="A43" s="3">
        <v>0.8</v>
      </c>
      <c r="B43" s="3">
        <v>3.3</v>
      </c>
      <c r="C43" s="3">
        <v>4.5</v>
      </c>
    </row>
    <row r="44" spans="1:3" x14ac:dyDescent="0.25">
      <c r="A44" s="3">
        <v>1.2</v>
      </c>
      <c r="B44" s="3">
        <v>5.8</v>
      </c>
      <c r="C44" s="3">
        <v>8.4</v>
      </c>
    </row>
    <row r="45" spans="1:3" x14ac:dyDescent="0.25">
      <c r="A45" s="3">
        <v>1.4</v>
      </c>
      <c r="B45" s="3">
        <v>10</v>
      </c>
      <c r="C45" s="3">
        <v>7.8</v>
      </c>
    </row>
    <row r="46" spans="1:3" x14ac:dyDescent="0.25">
      <c r="A46" s="3">
        <v>0.2</v>
      </c>
      <c r="B46" s="3">
        <v>4.7</v>
      </c>
      <c r="C46" s="3">
        <v>2.4</v>
      </c>
    </row>
    <row r="47" spans="1:3" x14ac:dyDescent="0.25">
      <c r="A47" s="3">
        <v>0.8</v>
      </c>
      <c r="B47" s="3">
        <v>7.7</v>
      </c>
      <c r="C47" s="3">
        <v>4.8</v>
      </c>
    </row>
    <row r="48" spans="1:3" x14ac:dyDescent="0.25">
      <c r="A48" s="3">
        <v>0.6</v>
      </c>
      <c r="B48" s="3">
        <v>4.5</v>
      </c>
      <c r="C48" s="3">
        <v>2.5</v>
      </c>
    </row>
    <row r="49" spans="1:3" x14ac:dyDescent="0.25">
      <c r="A49" s="3">
        <v>1.3</v>
      </c>
      <c r="B49" s="3">
        <v>8.6</v>
      </c>
      <c r="C49" s="3">
        <v>3.4</v>
      </c>
    </row>
    <row r="50" spans="1:3" x14ac:dyDescent="0.25">
      <c r="A50" s="3">
        <v>0.4</v>
      </c>
      <c r="B50" s="3">
        <v>5.9</v>
      </c>
      <c r="C50" s="3">
        <v>2</v>
      </c>
    </row>
    <row r="51" spans="1:3" x14ac:dyDescent="0.25">
      <c r="A51" s="3">
        <v>0.6</v>
      </c>
      <c r="B51" s="3">
        <v>6.3</v>
      </c>
      <c r="C51" s="3">
        <v>4.0999999999999996</v>
      </c>
    </row>
    <row r="52" spans="1:3" x14ac:dyDescent="0.25">
      <c r="A52" s="3">
        <v>1.5</v>
      </c>
      <c r="B52" s="3">
        <v>8.4</v>
      </c>
      <c r="C52" s="3">
        <v>7.7</v>
      </c>
    </row>
    <row r="53" spans="1:3" x14ac:dyDescent="0.25">
      <c r="A53" s="3">
        <v>0.8</v>
      </c>
      <c r="B53" s="3">
        <v>3.3</v>
      </c>
      <c r="C53" s="3">
        <v>4.5</v>
      </c>
    </row>
    <row r="54" spans="1:3" x14ac:dyDescent="0.25">
      <c r="A54" s="3">
        <v>1.2</v>
      </c>
      <c r="B54" s="3">
        <v>5.8</v>
      </c>
      <c r="C54" s="3">
        <v>8.4</v>
      </c>
    </row>
    <row r="55" spans="1:3" x14ac:dyDescent="0.25">
      <c r="A55" s="3">
        <v>1.4</v>
      </c>
      <c r="B55" s="3">
        <v>10</v>
      </c>
      <c r="C55" s="3">
        <v>7.8</v>
      </c>
    </row>
    <row r="56" spans="1:3" x14ac:dyDescent="0.25">
      <c r="A56" s="3">
        <v>0.2</v>
      </c>
      <c r="B56" s="3">
        <v>4.7</v>
      </c>
      <c r="C56" s="3">
        <v>2.4</v>
      </c>
    </row>
    <row r="57" spans="1:3" x14ac:dyDescent="0.25">
      <c r="A57" s="3">
        <v>0.8</v>
      </c>
      <c r="B57" s="3">
        <v>7.7</v>
      </c>
      <c r="C57" s="3">
        <v>4.8</v>
      </c>
    </row>
    <row r="58" spans="1:3" x14ac:dyDescent="0.25">
      <c r="A58" s="3">
        <v>0.6</v>
      </c>
      <c r="B58" s="3">
        <v>4.5</v>
      </c>
      <c r="C58" s="3">
        <v>2.5</v>
      </c>
    </row>
    <row r="59" spans="1:3" x14ac:dyDescent="0.25">
      <c r="A59" s="3">
        <v>1.3</v>
      </c>
      <c r="B59" s="3">
        <v>8.6</v>
      </c>
      <c r="C59" s="3">
        <v>3.4</v>
      </c>
    </row>
    <row r="60" spans="1:3" x14ac:dyDescent="0.25">
      <c r="A60" s="3">
        <v>0.4</v>
      </c>
      <c r="B60" s="3">
        <v>5.9</v>
      </c>
      <c r="C60" s="3">
        <v>2</v>
      </c>
    </row>
    <row r="61" spans="1:3" x14ac:dyDescent="0.25">
      <c r="A61" s="3">
        <v>0.6</v>
      </c>
      <c r="B61" s="3">
        <v>6.3</v>
      </c>
      <c r="C61" s="3">
        <v>4.0999999999999996</v>
      </c>
    </row>
    <row r="62" spans="1:3" x14ac:dyDescent="0.25">
      <c r="A62" s="3">
        <v>1.5</v>
      </c>
      <c r="B62" s="3">
        <v>8.4</v>
      </c>
      <c r="C62" s="3">
        <v>7.7</v>
      </c>
    </row>
    <row r="63" spans="1:3" x14ac:dyDescent="0.25">
      <c r="A63" s="3">
        <v>0.8</v>
      </c>
      <c r="B63" s="3">
        <v>3.3</v>
      </c>
      <c r="C63" s="3">
        <v>4.5</v>
      </c>
    </row>
    <row r="64" spans="1:3" x14ac:dyDescent="0.25">
      <c r="A64" s="3">
        <v>1.2</v>
      </c>
      <c r="B64" s="3">
        <v>5.8</v>
      </c>
      <c r="C64" s="3">
        <v>8.4</v>
      </c>
    </row>
    <row r="65" spans="1:3" x14ac:dyDescent="0.25">
      <c r="A65" s="3">
        <v>1.4</v>
      </c>
      <c r="B65" s="3">
        <v>10</v>
      </c>
      <c r="C65" s="3">
        <v>7.8</v>
      </c>
    </row>
    <row r="66" spans="1:3" x14ac:dyDescent="0.25">
      <c r="A66" s="3">
        <v>0.2</v>
      </c>
      <c r="B66" s="3">
        <v>4.7</v>
      </c>
      <c r="C66" s="3">
        <v>2.4</v>
      </c>
    </row>
    <row r="67" spans="1:3" x14ac:dyDescent="0.25">
      <c r="A67" s="3">
        <v>0.8</v>
      </c>
      <c r="B67" s="3">
        <v>7.7</v>
      </c>
      <c r="C67" s="3">
        <v>4.8</v>
      </c>
    </row>
    <row r="68" spans="1:3" x14ac:dyDescent="0.25">
      <c r="A68" s="3">
        <v>0.6</v>
      </c>
      <c r="B68" s="3">
        <v>4.5</v>
      </c>
      <c r="C68" s="3">
        <v>2.5</v>
      </c>
    </row>
    <row r="69" spans="1:3" x14ac:dyDescent="0.25">
      <c r="A69" s="3">
        <v>1.3</v>
      </c>
      <c r="B69" s="3">
        <v>8.6</v>
      </c>
      <c r="C69" s="3">
        <v>3.4</v>
      </c>
    </row>
    <row r="70" spans="1:3" x14ac:dyDescent="0.25">
      <c r="A70" s="3">
        <v>0.4</v>
      </c>
      <c r="B70" s="3">
        <v>5.9</v>
      </c>
      <c r="C70" s="3">
        <v>2</v>
      </c>
    </row>
    <row r="71" spans="1:3" x14ac:dyDescent="0.25">
      <c r="A71" s="3">
        <v>0.6</v>
      </c>
      <c r="B71" s="3">
        <v>6.3</v>
      </c>
      <c r="C71" s="3">
        <v>4.0999999999999996</v>
      </c>
    </row>
    <row r="72" spans="1:3" x14ac:dyDescent="0.25">
      <c r="A72" s="3">
        <v>1.5</v>
      </c>
      <c r="B72" s="3">
        <v>8.4</v>
      </c>
      <c r="C72" s="3">
        <v>7.7</v>
      </c>
    </row>
    <row r="73" spans="1:3" x14ac:dyDescent="0.25">
      <c r="A73" s="3">
        <v>0.8</v>
      </c>
      <c r="B73" s="3">
        <v>3.3</v>
      </c>
      <c r="C73" s="3">
        <v>4.5</v>
      </c>
    </row>
    <row r="74" spans="1:3" x14ac:dyDescent="0.25">
      <c r="A74" s="3">
        <v>1.2</v>
      </c>
      <c r="B74" s="3">
        <v>5.8</v>
      </c>
      <c r="C74" s="3">
        <v>8.4</v>
      </c>
    </row>
    <row r="75" spans="1:3" x14ac:dyDescent="0.25">
      <c r="A75" s="3">
        <v>1.4</v>
      </c>
      <c r="B75" s="3">
        <v>10</v>
      </c>
      <c r="C75" s="3">
        <v>7.8</v>
      </c>
    </row>
    <row r="76" spans="1:3" x14ac:dyDescent="0.25">
      <c r="A76" s="3">
        <v>0.2</v>
      </c>
      <c r="B76" s="3">
        <v>4.7</v>
      </c>
      <c r="C76" s="3">
        <v>2.4</v>
      </c>
    </row>
    <row r="77" spans="1:3" x14ac:dyDescent="0.25">
      <c r="A77" s="3">
        <v>0.8</v>
      </c>
      <c r="B77" s="3">
        <v>7.7</v>
      </c>
      <c r="C77" s="3">
        <v>4.8</v>
      </c>
    </row>
    <row r="78" spans="1:3" x14ac:dyDescent="0.25">
      <c r="A78" s="3">
        <v>0.6</v>
      </c>
      <c r="B78" s="3">
        <v>4.5</v>
      </c>
      <c r="C78" s="3">
        <v>2.5</v>
      </c>
    </row>
    <row r="79" spans="1:3" x14ac:dyDescent="0.25">
      <c r="A79" s="3">
        <v>1.3</v>
      </c>
      <c r="B79" s="3">
        <v>8.6</v>
      </c>
      <c r="C79" s="3">
        <v>3.4</v>
      </c>
    </row>
    <row r="80" spans="1:3" x14ac:dyDescent="0.25">
      <c r="A80" s="3">
        <v>0.4</v>
      </c>
      <c r="B80" s="3">
        <v>5.9</v>
      </c>
      <c r="C80" s="3">
        <v>2</v>
      </c>
    </row>
    <row r="81" spans="1:3" x14ac:dyDescent="0.25">
      <c r="A81" s="3">
        <v>0.6</v>
      </c>
      <c r="B81" s="3">
        <v>6.3</v>
      </c>
      <c r="C81" s="3">
        <v>4.0999999999999996</v>
      </c>
    </row>
    <row r="82" spans="1:3" x14ac:dyDescent="0.25">
      <c r="A82" s="3">
        <v>1.7</v>
      </c>
      <c r="B82" s="3">
        <v>8.4</v>
      </c>
      <c r="C82" s="3">
        <v>7.7</v>
      </c>
    </row>
    <row r="83" spans="1:3" x14ac:dyDescent="0.25">
      <c r="A83" s="3">
        <v>0.8</v>
      </c>
      <c r="B83" s="3">
        <v>3.3</v>
      </c>
      <c r="C83" s="3">
        <v>4.5</v>
      </c>
    </row>
    <row r="84" spans="1:3" x14ac:dyDescent="0.25">
      <c r="A84" s="3">
        <v>1.6</v>
      </c>
      <c r="B84" s="3">
        <v>5.8</v>
      </c>
      <c r="C84" s="3">
        <v>8.4</v>
      </c>
    </row>
    <row r="85" spans="1:3" x14ac:dyDescent="0.25">
      <c r="A85" s="3">
        <v>1.4</v>
      </c>
      <c r="B85" s="3">
        <v>10</v>
      </c>
      <c r="C85" s="3">
        <v>7.8</v>
      </c>
    </row>
    <row r="86" spans="1:3" x14ac:dyDescent="0.25">
      <c r="A86" s="3">
        <v>0.2</v>
      </c>
      <c r="B86" s="3">
        <v>4.7</v>
      </c>
      <c r="C86" s="3">
        <v>2.4</v>
      </c>
    </row>
    <row r="87" spans="1:3" x14ac:dyDescent="0.25">
      <c r="A87" s="3">
        <v>1</v>
      </c>
      <c r="B87" s="3">
        <v>7.7</v>
      </c>
      <c r="C87" s="3">
        <v>4.8</v>
      </c>
    </row>
    <row r="88" spans="1:3" x14ac:dyDescent="0.25">
      <c r="A88" s="3">
        <v>0.6</v>
      </c>
      <c r="B88" s="3">
        <v>4.5</v>
      </c>
      <c r="C88" s="3">
        <v>2.5</v>
      </c>
    </row>
    <row r="89" spans="1:3" x14ac:dyDescent="0.25">
      <c r="A89" s="3">
        <v>1.3</v>
      </c>
      <c r="B89" s="3">
        <v>8.6</v>
      </c>
      <c r="C89" s="3">
        <v>3.4</v>
      </c>
    </row>
    <row r="90" spans="1:3" x14ac:dyDescent="0.25">
      <c r="A90" s="3">
        <v>1.1000000000000001</v>
      </c>
      <c r="B90" s="3">
        <v>5.9</v>
      </c>
      <c r="C90" s="3">
        <v>2</v>
      </c>
    </row>
    <row r="91" spans="1:3" x14ac:dyDescent="0.25">
      <c r="A91" s="3">
        <v>0.6</v>
      </c>
      <c r="B91" s="3">
        <v>6.3</v>
      </c>
      <c r="C91" s="3">
        <v>4.0999999999999996</v>
      </c>
    </row>
    <row r="92" spans="1:3" x14ac:dyDescent="0.25">
      <c r="A92" s="3">
        <v>1.5</v>
      </c>
      <c r="B92" s="3">
        <v>8.4</v>
      </c>
      <c r="C92" s="3">
        <v>7.7</v>
      </c>
    </row>
    <row r="93" spans="1:3" x14ac:dyDescent="0.25">
      <c r="A93" s="3">
        <v>0.6</v>
      </c>
      <c r="B93" s="3">
        <v>3.3</v>
      </c>
      <c r="C93" s="3">
        <v>4.5</v>
      </c>
    </row>
    <row r="94" spans="1:3" x14ac:dyDescent="0.25">
      <c r="A94" s="3">
        <v>1.2</v>
      </c>
      <c r="B94" s="3">
        <v>5.8</v>
      </c>
      <c r="C94" s="3">
        <v>8.3000000000000007</v>
      </c>
    </row>
    <row r="95" spans="1:3" x14ac:dyDescent="0.25">
      <c r="A95" s="3">
        <v>1.4</v>
      </c>
      <c r="B95" s="3">
        <v>9.8000000000000007</v>
      </c>
      <c r="C95" s="3">
        <v>7.8</v>
      </c>
    </row>
    <row r="96" spans="1:3" x14ac:dyDescent="0.25">
      <c r="A96" s="3">
        <v>0.2</v>
      </c>
      <c r="B96" s="3">
        <v>4.7</v>
      </c>
      <c r="C96" s="3">
        <v>2.4</v>
      </c>
    </row>
    <row r="97" spans="1:3" x14ac:dyDescent="0.25">
      <c r="A97" s="3">
        <v>0.8</v>
      </c>
      <c r="B97" s="3">
        <v>7.7</v>
      </c>
      <c r="C97" s="3">
        <v>4.8</v>
      </c>
    </row>
    <row r="98" spans="1:3" x14ac:dyDescent="0.25">
      <c r="A98" s="3">
        <v>0.6</v>
      </c>
      <c r="B98" s="3">
        <v>4.5</v>
      </c>
      <c r="C98" s="3">
        <v>2.5</v>
      </c>
    </row>
    <row r="99" spans="1:3" x14ac:dyDescent="0.25">
      <c r="A99" s="3">
        <v>1.3</v>
      </c>
      <c r="B99" s="3">
        <v>9.1</v>
      </c>
      <c r="C99" s="3">
        <v>3.4</v>
      </c>
    </row>
    <row r="100" spans="1:3" x14ac:dyDescent="0.25">
      <c r="A100" s="3">
        <v>0.5</v>
      </c>
      <c r="B100" s="3">
        <v>5.9</v>
      </c>
      <c r="C100" s="3">
        <v>2.2000000000000002</v>
      </c>
    </row>
    <row r="101" spans="1:3" x14ac:dyDescent="0.25">
      <c r="A101" s="3">
        <v>0.8</v>
      </c>
      <c r="B101" s="3">
        <v>6.3</v>
      </c>
      <c r="C101" s="3">
        <v>4.2</v>
      </c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1"/>
  <sheetViews>
    <sheetView zoomScale="164" workbookViewId="0">
      <selection activeCell="K17" sqref="K17"/>
    </sheetView>
  </sheetViews>
  <sheetFormatPr defaultRowHeight="15" x14ac:dyDescent="0.25"/>
  <cols>
    <col min="2" max="2" width="10.42578125" style="4" bestFit="1" customWidth="1"/>
    <col min="3" max="3" width="12.5703125" style="4" customWidth="1"/>
    <col min="4" max="4" width="11.42578125" style="4" customWidth="1"/>
    <col min="5" max="5" width="13.42578125" style="4" customWidth="1"/>
    <col min="8" max="8" width="18.140625" bestFit="1" customWidth="1"/>
    <col min="9" max="9" width="12.28515625" bestFit="1" customWidth="1"/>
    <col min="10" max="10" width="18.140625" bestFit="1" customWidth="1"/>
    <col min="11" max="11" width="13" bestFit="1" customWidth="1"/>
  </cols>
  <sheetData>
    <row r="1" spans="1:11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H1" s="16" t="s">
        <v>8</v>
      </c>
      <c r="I1" s="16"/>
      <c r="J1" s="16" t="s">
        <v>9</v>
      </c>
      <c r="K1" s="11"/>
    </row>
    <row r="2" spans="1:11" x14ac:dyDescent="0.25">
      <c r="A2">
        <v>1</v>
      </c>
      <c r="B2" s="4" t="s">
        <v>10</v>
      </c>
      <c r="C2" s="4" t="s">
        <v>10</v>
      </c>
      <c r="D2" s="4">
        <v>5472.43</v>
      </c>
      <c r="E2" s="4">
        <v>827.4</v>
      </c>
      <c r="H2" s="9"/>
      <c r="I2" s="9"/>
      <c r="J2" s="9"/>
      <c r="K2" s="9"/>
    </row>
    <row r="3" spans="1:11" x14ac:dyDescent="0.25">
      <c r="A3">
        <v>2</v>
      </c>
      <c r="B3" s="4" t="s">
        <v>11</v>
      </c>
      <c r="C3" s="4" t="s">
        <v>10</v>
      </c>
      <c r="D3" s="4">
        <v>9130.73</v>
      </c>
      <c r="E3" s="4">
        <v>863.55</v>
      </c>
      <c r="H3" s="9" t="s">
        <v>21</v>
      </c>
      <c r="I3" s="9">
        <v>4420.2775200000069</v>
      </c>
      <c r="J3" s="9" t="s">
        <v>21</v>
      </c>
      <c r="K3" s="9">
        <v>2405.2713426853734</v>
      </c>
    </row>
    <row r="4" spans="1:11" x14ac:dyDescent="0.25">
      <c r="A4">
        <v>3</v>
      </c>
      <c r="B4" s="4" t="s">
        <v>11</v>
      </c>
      <c r="C4" s="4" t="s">
        <v>10</v>
      </c>
      <c r="D4" s="4">
        <v>4450.67</v>
      </c>
      <c r="E4" s="4">
        <v>1180.05</v>
      </c>
      <c r="H4" s="9" t="s">
        <v>22</v>
      </c>
      <c r="I4" s="9">
        <v>77.873257304620935</v>
      </c>
      <c r="J4" s="9" t="s">
        <v>22</v>
      </c>
      <c r="K4" s="9">
        <v>50.917194772058338</v>
      </c>
    </row>
    <row r="5" spans="1:11" x14ac:dyDescent="0.25">
      <c r="A5">
        <v>4</v>
      </c>
      <c r="B5" s="4" t="s">
        <v>11</v>
      </c>
      <c r="C5" s="4" t="s">
        <v>10</v>
      </c>
      <c r="D5" s="4">
        <v>5020.72</v>
      </c>
      <c r="E5" s="4">
        <v>755.7</v>
      </c>
      <c r="H5" s="9" t="s">
        <v>23</v>
      </c>
      <c r="I5" s="9">
        <v>4174.375</v>
      </c>
      <c r="J5" s="9" t="s">
        <v>23</v>
      </c>
      <c r="K5" s="9">
        <v>2182.9499999999998</v>
      </c>
    </row>
    <row r="6" spans="1:11" x14ac:dyDescent="0.25">
      <c r="A6">
        <v>5</v>
      </c>
      <c r="B6" s="4" t="s">
        <v>11</v>
      </c>
      <c r="C6" s="4" t="s">
        <v>10</v>
      </c>
      <c r="D6" s="4">
        <v>3408.11</v>
      </c>
      <c r="E6" s="4">
        <v>851.4</v>
      </c>
      <c r="H6" s="9" t="s">
        <v>24</v>
      </c>
      <c r="I6" s="9">
        <v>2487.89</v>
      </c>
      <c r="J6" s="9" t="s">
        <v>24</v>
      </c>
      <c r="K6" s="9">
        <v>1715.25</v>
      </c>
    </row>
    <row r="7" spans="1:11" x14ac:dyDescent="0.25">
      <c r="A7">
        <v>6</v>
      </c>
      <c r="B7" s="4" t="s">
        <v>11</v>
      </c>
      <c r="C7" s="4" t="s">
        <v>11</v>
      </c>
      <c r="D7" s="4">
        <v>2850.33</v>
      </c>
      <c r="E7" s="4">
        <v>1751.7</v>
      </c>
      <c r="H7" s="9" t="s">
        <v>25</v>
      </c>
      <c r="I7" s="9">
        <v>1741.2989696246445</v>
      </c>
      <c r="J7" s="9" t="s">
        <v>25</v>
      </c>
      <c r="K7" s="9">
        <v>1137.4039744103266</v>
      </c>
    </row>
    <row r="8" spans="1:11" x14ac:dyDescent="0.25">
      <c r="A8">
        <v>7</v>
      </c>
      <c r="B8" s="4" t="s">
        <v>11</v>
      </c>
      <c r="C8" s="4" t="s">
        <v>11</v>
      </c>
      <c r="D8" s="4">
        <v>3680.6</v>
      </c>
      <c r="E8" s="4">
        <v>4557.3</v>
      </c>
      <c r="H8" s="9" t="s">
        <v>26</v>
      </c>
      <c r="I8" s="9">
        <v>3032122.1016158485</v>
      </c>
      <c r="J8" s="9" t="s">
        <v>26</v>
      </c>
      <c r="K8" s="9">
        <v>1293687.801004407</v>
      </c>
    </row>
    <row r="9" spans="1:11" x14ac:dyDescent="0.25">
      <c r="A9">
        <v>8</v>
      </c>
      <c r="B9" s="4" t="s">
        <v>11</v>
      </c>
      <c r="C9" s="4" t="s">
        <v>10</v>
      </c>
      <c r="D9" s="4">
        <v>2863.2</v>
      </c>
      <c r="E9" s="4">
        <v>3294.45</v>
      </c>
      <c r="H9" s="9" t="s">
        <v>27</v>
      </c>
      <c r="I9" s="9">
        <v>0.52098304536263162</v>
      </c>
      <c r="J9" s="9" t="s">
        <v>27</v>
      </c>
      <c r="K9" s="9">
        <v>-0.30076672328696796</v>
      </c>
    </row>
    <row r="10" spans="1:11" x14ac:dyDescent="0.25">
      <c r="A10">
        <v>9</v>
      </c>
      <c r="B10" s="4" t="s">
        <v>11</v>
      </c>
      <c r="C10" s="4" t="s">
        <v>11</v>
      </c>
      <c r="D10" s="4">
        <v>6754.48</v>
      </c>
      <c r="E10" s="4">
        <v>3420</v>
      </c>
      <c r="H10" s="9" t="s">
        <v>28</v>
      </c>
      <c r="I10" s="9">
        <v>0.83939092388199465</v>
      </c>
      <c r="J10" s="9" t="s">
        <v>28</v>
      </c>
      <c r="K10" s="9">
        <v>0.61870675959460619</v>
      </c>
    </row>
    <row r="11" spans="1:11" x14ac:dyDescent="0.25">
      <c r="A11">
        <v>10</v>
      </c>
      <c r="B11" s="4" t="s">
        <v>11</v>
      </c>
      <c r="C11" s="4" t="s">
        <v>11</v>
      </c>
      <c r="D11" s="4">
        <v>2902.44</v>
      </c>
      <c r="E11" s="4">
        <v>4526.8500000000004</v>
      </c>
      <c r="H11" s="9" t="s">
        <v>29</v>
      </c>
      <c r="I11" s="9">
        <v>8449.84</v>
      </c>
      <c r="J11" s="9" t="s">
        <v>29</v>
      </c>
      <c r="K11" s="9">
        <v>5393.2499999999991</v>
      </c>
    </row>
    <row r="12" spans="1:11" x14ac:dyDescent="0.25">
      <c r="A12">
        <v>11</v>
      </c>
      <c r="B12" s="4" t="s">
        <v>11</v>
      </c>
      <c r="C12" s="4" t="s">
        <v>11</v>
      </c>
      <c r="D12" s="4">
        <v>4317.49</v>
      </c>
      <c r="E12" s="4">
        <v>2938.65</v>
      </c>
      <c r="H12" s="9" t="s">
        <v>30</v>
      </c>
      <c r="I12" s="9">
        <v>1550.16</v>
      </c>
      <c r="J12" s="9" t="s">
        <v>30</v>
      </c>
      <c r="K12" s="9">
        <v>637.04999999999995</v>
      </c>
    </row>
    <row r="13" spans="1:11" x14ac:dyDescent="0.25">
      <c r="A13">
        <v>12</v>
      </c>
      <c r="B13" s="4" t="s">
        <v>11</v>
      </c>
      <c r="C13" s="4" t="s">
        <v>10</v>
      </c>
      <c r="D13" s="4">
        <v>4729.1099999999997</v>
      </c>
      <c r="E13" s="4">
        <v>851.85</v>
      </c>
      <c r="H13" s="9" t="s">
        <v>31</v>
      </c>
      <c r="I13" s="9">
        <v>10000</v>
      </c>
      <c r="J13" s="9" t="s">
        <v>31</v>
      </c>
      <c r="K13" s="9">
        <v>6030.2999999999993</v>
      </c>
    </row>
    <row r="14" spans="1:11" x14ac:dyDescent="0.25">
      <c r="A14">
        <v>13</v>
      </c>
      <c r="B14" s="4" t="s">
        <v>11</v>
      </c>
      <c r="C14" s="4" t="s">
        <v>10</v>
      </c>
      <c r="D14" s="4">
        <v>1843.52</v>
      </c>
      <c r="E14" s="4">
        <v>1740</v>
      </c>
      <c r="H14" s="9" t="s">
        <v>32</v>
      </c>
      <c r="I14" s="9">
        <v>2210138.7600000035</v>
      </c>
      <c r="J14" s="9" t="s">
        <v>32</v>
      </c>
      <c r="K14" s="9">
        <v>1200230.4000000013</v>
      </c>
    </row>
    <row r="15" spans="1:11" ht="15.75" thickBot="1" x14ac:dyDescent="0.3">
      <c r="A15">
        <v>14</v>
      </c>
      <c r="B15" s="4" t="s">
        <v>11</v>
      </c>
      <c r="C15" s="4" t="s">
        <v>10</v>
      </c>
      <c r="D15" s="4">
        <v>3442.98</v>
      </c>
      <c r="E15" s="4">
        <v>1219.8</v>
      </c>
      <c r="H15" s="10" t="s">
        <v>33</v>
      </c>
      <c r="I15" s="10">
        <v>500</v>
      </c>
      <c r="J15" s="10" t="s">
        <v>33</v>
      </c>
      <c r="K15" s="10">
        <v>499</v>
      </c>
    </row>
    <row r="16" spans="1:11" x14ac:dyDescent="0.25">
      <c r="A16">
        <v>15</v>
      </c>
      <c r="B16" s="4" t="s">
        <v>11</v>
      </c>
      <c r="C16" s="4" t="s">
        <v>11</v>
      </c>
      <c r="D16" s="4">
        <v>6317.55</v>
      </c>
      <c r="E16" s="4">
        <v>3514.65</v>
      </c>
      <c r="H16" s="9" t="s">
        <v>41</v>
      </c>
      <c r="I16">
        <f>I7/I3</f>
        <v>0.39393430881793184</v>
      </c>
      <c r="J16" s="9" t="s">
        <v>41</v>
      </c>
      <c r="K16">
        <f>K7/K3</f>
        <v>0.47287969312454703</v>
      </c>
    </row>
    <row r="17" spans="1:5" x14ac:dyDescent="0.25">
      <c r="A17">
        <v>16</v>
      </c>
      <c r="B17" s="4" t="s">
        <v>11</v>
      </c>
      <c r="C17" s="4" t="s">
        <v>10</v>
      </c>
      <c r="D17" s="4">
        <v>3391.87</v>
      </c>
      <c r="E17" s="4">
        <v>2370</v>
      </c>
    </row>
    <row r="18" spans="1:5" x14ac:dyDescent="0.25">
      <c r="A18">
        <v>17</v>
      </c>
      <c r="B18" s="4" t="s">
        <v>10</v>
      </c>
      <c r="C18" s="4" t="s">
        <v>11</v>
      </c>
      <c r="D18" s="4">
        <v>2494.4499999999998</v>
      </c>
      <c r="E18" s="4">
        <v>2488.5</v>
      </c>
    </row>
    <row r="19" spans="1:5" x14ac:dyDescent="0.25">
      <c r="A19">
        <v>18</v>
      </c>
      <c r="B19" s="4" t="s">
        <v>11</v>
      </c>
      <c r="C19" s="4" t="s">
        <v>11</v>
      </c>
      <c r="D19" s="4">
        <v>6798.94</v>
      </c>
      <c r="E19" s="4">
        <v>2151.6</v>
      </c>
    </row>
    <row r="20" spans="1:5" x14ac:dyDescent="0.25">
      <c r="A20">
        <v>19</v>
      </c>
      <c r="B20" s="4" t="s">
        <v>11</v>
      </c>
      <c r="C20" s="4" t="s">
        <v>11</v>
      </c>
      <c r="D20" s="4">
        <v>4347.4799999999996</v>
      </c>
      <c r="E20" s="4">
        <v>2002.5</v>
      </c>
    </row>
    <row r="21" spans="1:5" x14ac:dyDescent="0.25">
      <c r="A21">
        <v>20</v>
      </c>
      <c r="B21" s="4" t="s">
        <v>11</v>
      </c>
      <c r="C21" s="4" t="s">
        <v>11</v>
      </c>
      <c r="D21" s="4">
        <v>2487.89</v>
      </c>
      <c r="E21" s="4">
        <v>1715.25</v>
      </c>
    </row>
    <row r="22" spans="1:5" x14ac:dyDescent="0.25">
      <c r="A22">
        <v>21</v>
      </c>
      <c r="B22" s="4" t="s">
        <v>11</v>
      </c>
      <c r="C22" s="4" t="s">
        <v>11</v>
      </c>
      <c r="D22" s="4">
        <v>5736.34</v>
      </c>
      <c r="E22" s="4">
        <v>3150</v>
      </c>
    </row>
    <row r="23" spans="1:5" x14ac:dyDescent="0.25">
      <c r="A23">
        <v>22</v>
      </c>
      <c r="B23" s="4" t="s">
        <v>11</v>
      </c>
      <c r="C23" s="4" t="s">
        <v>11</v>
      </c>
      <c r="D23" s="4">
        <v>3046.45</v>
      </c>
      <c r="E23" s="4">
        <v>2623.05</v>
      </c>
    </row>
    <row r="24" spans="1:5" x14ac:dyDescent="0.25">
      <c r="A24">
        <v>23</v>
      </c>
      <c r="B24" s="4" t="s">
        <v>11</v>
      </c>
      <c r="C24" s="4" t="s">
        <v>10</v>
      </c>
      <c r="D24" s="4">
        <v>4935.72</v>
      </c>
      <c r="E24" s="4">
        <v>1151.8500000000001</v>
      </c>
    </row>
    <row r="25" spans="1:5" x14ac:dyDescent="0.25">
      <c r="A25">
        <v>24</v>
      </c>
      <c r="B25" s="4" t="s">
        <v>10</v>
      </c>
      <c r="C25" s="4" t="s">
        <v>11</v>
      </c>
      <c r="D25" s="4">
        <v>6134.26</v>
      </c>
      <c r="E25" s="4">
        <v>1585.95</v>
      </c>
    </row>
    <row r="26" spans="1:5" x14ac:dyDescent="0.25">
      <c r="A26">
        <v>25</v>
      </c>
      <c r="B26" s="4" t="s">
        <v>11</v>
      </c>
      <c r="C26" s="4" t="s">
        <v>10</v>
      </c>
      <c r="D26" s="4">
        <v>6167</v>
      </c>
      <c r="E26" s="4">
        <v>824.4</v>
      </c>
    </row>
    <row r="27" spans="1:5" x14ac:dyDescent="0.25">
      <c r="A27">
        <v>26</v>
      </c>
      <c r="B27" s="4" t="s">
        <v>11</v>
      </c>
      <c r="C27" s="4" t="s">
        <v>11</v>
      </c>
      <c r="D27" s="4">
        <v>6275.61</v>
      </c>
      <c r="E27" s="4">
        <v>3924.45</v>
      </c>
    </row>
    <row r="28" spans="1:5" x14ac:dyDescent="0.25">
      <c r="A28">
        <v>27</v>
      </c>
      <c r="B28" s="4" t="s">
        <v>11</v>
      </c>
      <c r="C28" s="4" t="s">
        <v>10</v>
      </c>
      <c r="D28" s="4">
        <v>2711.42</v>
      </c>
      <c r="E28" s="4">
        <v>2784.75</v>
      </c>
    </row>
    <row r="29" spans="1:5" x14ac:dyDescent="0.25">
      <c r="A29">
        <v>28</v>
      </c>
      <c r="B29" s="4" t="s">
        <v>11</v>
      </c>
      <c r="C29" s="4" t="s">
        <v>10</v>
      </c>
      <c r="D29" s="4">
        <v>3059.78</v>
      </c>
      <c r="E29" s="4">
        <v>1114.2</v>
      </c>
    </row>
    <row r="30" spans="1:5" x14ac:dyDescent="0.25">
      <c r="A30">
        <v>29</v>
      </c>
      <c r="B30" s="4" t="s">
        <v>10</v>
      </c>
      <c r="C30" s="4" t="s">
        <v>11</v>
      </c>
      <c r="D30" s="4">
        <v>3305.7</v>
      </c>
      <c r="E30" s="4">
        <v>1723.95</v>
      </c>
    </row>
    <row r="31" spans="1:5" x14ac:dyDescent="0.25">
      <c r="A31">
        <v>30</v>
      </c>
      <c r="B31" s="4" t="s">
        <v>10</v>
      </c>
      <c r="C31" s="4" t="s">
        <v>10</v>
      </c>
      <c r="D31" s="4">
        <v>2260.17</v>
      </c>
      <c r="E31" s="4">
        <v>1905.9</v>
      </c>
    </row>
    <row r="32" spans="1:5" x14ac:dyDescent="0.25">
      <c r="A32">
        <v>31</v>
      </c>
      <c r="B32" s="4" t="s">
        <v>10</v>
      </c>
      <c r="C32" s="4" t="s">
        <v>11</v>
      </c>
      <c r="D32" s="4">
        <v>7032.27</v>
      </c>
      <c r="E32" s="4">
        <v>1576.5</v>
      </c>
    </row>
    <row r="33" spans="1:5" x14ac:dyDescent="0.25">
      <c r="A33">
        <v>32</v>
      </c>
      <c r="B33" s="4" t="s">
        <v>10</v>
      </c>
      <c r="C33" s="4" t="s">
        <v>10</v>
      </c>
      <c r="D33" s="4">
        <v>4070.45</v>
      </c>
      <c r="E33" s="4">
        <v>2386.8000000000002</v>
      </c>
    </row>
    <row r="34" spans="1:5" x14ac:dyDescent="0.25">
      <c r="A34">
        <v>33</v>
      </c>
      <c r="B34" s="4" t="s">
        <v>11</v>
      </c>
      <c r="C34" s="4" t="s">
        <v>10</v>
      </c>
      <c r="D34" s="4">
        <v>3296.05</v>
      </c>
      <c r="E34" s="4">
        <v>1135.6499999999999</v>
      </c>
    </row>
    <row r="35" spans="1:5" x14ac:dyDescent="0.25">
      <c r="A35">
        <v>34</v>
      </c>
      <c r="B35" s="4" t="s">
        <v>10</v>
      </c>
      <c r="C35" s="4" t="s">
        <v>11</v>
      </c>
      <c r="D35" s="4">
        <v>2386.85</v>
      </c>
      <c r="E35" s="4">
        <v>1859.55</v>
      </c>
    </row>
    <row r="36" spans="1:5" x14ac:dyDescent="0.25">
      <c r="A36">
        <v>35</v>
      </c>
      <c r="B36" s="4" t="s">
        <v>11</v>
      </c>
      <c r="C36" s="4" t="s">
        <v>10</v>
      </c>
      <c r="D36" s="4">
        <v>2621.0100000000002</v>
      </c>
      <c r="E36" s="4">
        <v>1992.75</v>
      </c>
    </row>
    <row r="37" spans="1:5" x14ac:dyDescent="0.25">
      <c r="A37">
        <v>36</v>
      </c>
      <c r="B37" s="4" t="s">
        <v>10</v>
      </c>
      <c r="C37" s="4" t="s">
        <v>10</v>
      </c>
      <c r="D37" s="4">
        <v>1853.53</v>
      </c>
      <c r="E37" s="4">
        <v>1825.05</v>
      </c>
    </row>
    <row r="38" spans="1:5" x14ac:dyDescent="0.25">
      <c r="A38">
        <v>37</v>
      </c>
      <c r="B38" s="4" t="s">
        <v>11</v>
      </c>
      <c r="C38" s="4" t="s">
        <v>11</v>
      </c>
      <c r="D38" s="4">
        <v>5898.74</v>
      </c>
      <c r="E38" s="4">
        <v>2548.5</v>
      </c>
    </row>
    <row r="39" spans="1:5" x14ac:dyDescent="0.25">
      <c r="A39">
        <v>38</v>
      </c>
      <c r="B39" s="4" t="s">
        <v>11</v>
      </c>
      <c r="C39" s="4" t="s">
        <v>11</v>
      </c>
      <c r="D39" s="4">
        <v>2850.33</v>
      </c>
      <c r="E39" s="4">
        <v>1751.7</v>
      </c>
    </row>
    <row r="40" spans="1:5" x14ac:dyDescent="0.25">
      <c r="A40">
        <v>39</v>
      </c>
      <c r="B40" s="4" t="s">
        <v>11</v>
      </c>
      <c r="C40" s="4" t="s">
        <v>11</v>
      </c>
      <c r="D40" s="4">
        <v>3316.9</v>
      </c>
      <c r="E40" s="4">
        <v>2395.65</v>
      </c>
    </row>
    <row r="41" spans="1:5" x14ac:dyDescent="0.25">
      <c r="A41">
        <v>40</v>
      </c>
      <c r="B41" s="4" t="s">
        <v>11</v>
      </c>
      <c r="C41" s="4" t="s">
        <v>11</v>
      </c>
      <c r="D41" s="4">
        <v>2995.1</v>
      </c>
      <c r="E41" s="4">
        <v>3130.65</v>
      </c>
    </row>
    <row r="42" spans="1:5" x14ac:dyDescent="0.25">
      <c r="A42">
        <v>41</v>
      </c>
      <c r="B42" s="4" t="s">
        <v>11</v>
      </c>
      <c r="C42" s="4" t="s">
        <v>11</v>
      </c>
      <c r="D42" s="4">
        <v>2295.23</v>
      </c>
      <c r="E42" s="4">
        <v>4197.45</v>
      </c>
    </row>
    <row r="43" spans="1:5" x14ac:dyDescent="0.25">
      <c r="A43">
        <v>42</v>
      </c>
      <c r="B43" s="4" t="s">
        <v>11</v>
      </c>
      <c r="C43" s="4" t="s">
        <v>11</v>
      </c>
      <c r="D43" s="4">
        <v>3543.34</v>
      </c>
      <c r="E43" s="4">
        <v>2934.6</v>
      </c>
    </row>
    <row r="44" spans="1:5" x14ac:dyDescent="0.25">
      <c r="A44">
        <v>43</v>
      </c>
      <c r="B44" s="4" t="s">
        <v>11</v>
      </c>
      <c r="C44" s="4" t="s">
        <v>11</v>
      </c>
      <c r="D44" s="4">
        <v>2850.33</v>
      </c>
      <c r="E44" s="4">
        <v>1751.7</v>
      </c>
    </row>
    <row r="45" spans="1:5" x14ac:dyDescent="0.25">
      <c r="A45">
        <v>44</v>
      </c>
      <c r="B45" s="4" t="s">
        <v>11</v>
      </c>
      <c r="C45" s="4" t="s">
        <v>11</v>
      </c>
      <c r="D45" s="4">
        <v>6102.03</v>
      </c>
      <c r="E45" s="4">
        <v>3075</v>
      </c>
    </row>
    <row r="46" spans="1:5" x14ac:dyDescent="0.25">
      <c r="A46">
        <v>45</v>
      </c>
      <c r="B46" s="4" t="s">
        <v>10</v>
      </c>
      <c r="C46" s="4" t="s">
        <v>11</v>
      </c>
      <c r="D46" s="4">
        <v>2985.42</v>
      </c>
      <c r="E46" s="4">
        <v>1573.0500000000002</v>
      </c>
    </row>
    <row r="47" spans="1:5" x14ac:dyDescent="0.25">
      <c r="A47">
        <v>46</v>
      </c>
      <c r="B47" s="4" t="s">
        <v>11</v>
      </c>
      <c r="C47" s="4" t="s">
        <v>11</v>
      </c>
      <c r="D47" s="4">
        <v>4289.78</v>
      </c>
      <c r="E47" s="4">
        <v>4432.3500000000004</v>
      </c>
    </row>
    <row r="48" spans="1:5" x14ac:dyDescent="0.25">
      <c r="A48">
        <v>47</v>
      </c>
      <c r="B48" s="4" t="s">
        <v>10</v>
      </c>
      <c r="C48" s="4" t="s">
        <v>11</v>
      </c>
      <c r="D48" s="4">
        <v>5307.27</v>
      </c>
      <c r="E48" s="4">
        <v>2456.6999999999998</v>
      </c>
    </row>
    <row r="49" spans="1:5" x14ac:dyDescent="0.25">
      <c r="A49">
        <v>48</v>
      </c>
      <c r="B49" s="4" t="s">
        <v>11</v>
      </c>
      <c r="C49" s="4" t="s">
        <v>11</v>
      </c>
      <c r="D49" s="4">
        <v>1710.9</v>
      </c>
      <c r="E49" s="4">
        <v>2961.2999999999997</v>
      </c>
    </row>
    <row r="50" spans="1:5" x14ac:dyDescent="0.25">
      <c r="A50">
        <v>49</v>
      </c>
      <c r="B50" s="4" t="s">
        <v>10</v>
      </c>
      <c r="C50" s="4" t="s">
        <v>10</v>
      </c>
      <c r="D50" s="4">
        <v>3757.25</v>
      </c>
      <c r="E50" s="4">
        <v>1204.6500000000001</v>
      </c>
    </row>
    <row r="51" spans="1:5" x14ac:dyDescent="0.25">
      <c r="A51">
        <v>50</v>
      </c>
      <c r="B51" s="4" t="s">
        <v>10</v>
      </c>
      <c r="C51" s="4" t="s">
        <v>11</v>
      </c>
      <c r="D51" s="4">
        <v>3840.28</v>
      </c>
      <c r="E51" s="4">
        <v>2751.4500000000003</v>
      </c>
    </row>
    <row r="52" spans="1:5" x14ac:dyDescent="0.25">
      <c r="A52">
        <v>51</v>
      </c>
      <c r="B52" s="4" t="s">
        <v>11</v>
      </c>
      <c r="C52" s="4" t="s">
        <v>11</v>
      </c>
      <c r="D52" s="4">
        <v>3585.86</v>
      </c>
      <c r="E52" s="4">
        <v>2251.9499999999998</v>
      </c>
    </row>
    <row r="53" spans="1:5" x14ac:dyDescent="0.25">
      <c r="A53">
        <v>52</v>
      </c>
      <c r="B53" s="4" t="s">
        <v>10</v>
      </c>
      <c r="C53" s="4" t="s">
        <v>11</v>
      </c>
      <c r="D53" s="4">
        <v>2447.14</v>
      </c>
      <c r="E53" s="4">
        <v>2656.35</v>
      </c>
    </row>
    <row r="54" spans="1:5" x14ac:dyDescent="0.25">
      <c r="A54">
        <v>53</v>
      </c>
      <c r="B54" s="4" t="s">
        <v>11</v>
      </c>
      <c r="C54" s="4" t="s">
        <v>11</v>
      </c>
      <c r="D54" s="4">
        <v>2019.98</v>
      </c>
      <c r="E54" s="4">
        <v>4338.75</v>
      </c>
    </row>
    <row r="55" spans="1:5" x14ac:dyDescent="0.25">
      <c r="A55">
        <v>54</v>
      </c>
      <c r="B55" s="4" t="s">
        <v>11</v>
      </c>
      <c r="C55" s="4" t="s">
        <v>10</v>
      </c>
      <c r="D55" s="4">
        <v>6269.39</v>
      </c>
      <c r="E55" s="4">
        <v>1006.4999999999999</v>
      </c>
    </row>
    <row r="56" spans="1:5" x14ac:dyDescent="0.25">
      <c r="A56">
        <v>55</v>
      </c>
      <c r="B56" s="4" t="s">
        <v>11</v>
      </c>
      <c r="C56" s="4" t="s">
        <v>10</v>
      </c>
      <c r="D56" s="4">
        <v>4417.16</v>
      </c>
      <c r="E56" s="4">
        <v>2044.0500000000002</v>
      </c>
    </row>
    <row r="57" spans="1:5" x14ac:dyDescent="0.25">
      <c r="A57">
        <v>56</v>
      </c>
      <c r="B57" s="4" t="s">
        <v>11</v>
      </c>
      <c r="C57" s="4" t="s">
        <v>11</v>
      </c>
      <c r="D57" s="4">
        <v>6722.01</v>
      </c>
      <c r="E57" s="4">
        <v>1742.7</v>
      </c>
    </row>
    <row r="58" spans="1:5" x14ac:dyDescent="0.25">
      <c r="A58">
        <v>57</v>
      </c>
      <c r="B58" s="4" t="s">
        <v>11</v>
      </c>
      <c r="C58" s="4" t="s">
        <v>10</v>
      </c>
      <c r="D58" s="4">
        <v>6362.24</v>
      </c>
      <c r="E58" s="4">
        <v>855.75</v>
      </c>
    </row>
    <row r="59" spans="1:5" x14ac:dyDescent="0.25">
      <c r="A59">
        <v>58</v>
      </c>
      <c r="B59" s="4" t="s">
        <v>11</v>
      </c>
      <c r="C59" s="4" t="s">
        <v>10</v>
      </c>
      <c r="D59" s="4">
        <v>5293.05</v>
      </c>
      <c r="E59" s="4">
        <v>896.55000000000007</v>
      </c>
    </row>
    <row r="60" spans="1:5" x14ac:dyDescent="0.25">
      <c r="A60">
        <v>59</v>
      </c>
      <c r="B60" s="4" t="s">
        <v>11</v>
      </c>
      <c r="C60" s="4" t="s">
        <v>11</v>
      </c>
      <c r="D60" s="4">
        <v>3863.5</v>
      </c>
      <c r="E60" s="4">
        <v>3889.7999999999997</v>
      </c>
    </row>
    <row r="61" spans="1:5" x14ac:dyDescent="0.25">
      <c r="A61">
        <v>60</v>
      </c>
      <c r="B61" s="4" t="s">
        <v>11</v>
      </c>
      <c r="C61" s="4" t="s">
        <v>11</v>
      </c>
      <c r="D61" s="4">
        <v>4593.38</v>
      </c>
      <c r="E61" s="4">
        <v>2434.1999999999998</v>
      </c>
    </row>
    <row r="62" spans="1:5" x14ac:dyDescent="0.25">
      <c r="A62">
        <v>61</v>
      </c>
      <c r="B62" s="4" t="s">
        <v>10</v>
      </c>
      <c r="C62" s="4" t="s">
        <v>11</v>
      </c>
      <c r="D62" s="4">
        <v>3951.55</v>
      </c>
      <c r="E62" s="4">
        <v>1952.25</v>
      </c>
    </row>
    <row r="63" spans="1:5" x14ac:dyDescent="0.25">
      <c r="A63">
        <v>62</v>
      </c>
      <c r="B63" s="4" t="s">
        <v>11</v>
      </c>
      <c r="C63" s="4" t="s">
        <v>10</v>
      </c>
      <c r="D63" s="4">
        <v>2621.0100000000002</v>
      </c>
      <c r="E63" s="4">
        <v>1992.75</v>
      </c>
    </row>
    <row r="64" spans="1:5" x14ac:dyDescent="0.25">
      <c r="A64">
        <v>63</v>
      </c>
      <c r="B64" s="4" t="s">
        <v>10</v>
      </c>
      <c r="C64" s="4" t="s">
        <v>11</v>
      </c>
      <c r="D64" s="4">
        <v>2216.6999999999998</v>
      </c>
      <c r="E64" s="4">
        <v>1944.4499999999998</v>
      </c>
    </row>
    <row r="65" spans="1:5" x14ac:dyDescent="0.25">
      <c r="A65">
        <v>64</v>
      </c>
      <c r="B65" s="4" t="s">
        <v>10</v>
      </c>
      <c r="C65" s="4" t="s">
        <v>11</v>
      </c>
      <c r="D65" s="4">
        <v>3651.91</v>
      </c>
      <c r="E65" s="4">
        <v>3021.4500000000003</v>
      </c>
    </row>
    <row r="66" spans="1:5" x14ac:dyDescent="0.25">
      <c r="A66">
        <v>65</v>
      </c>
      <c r="B66" s="4" t="s">
        <v>11</v>
      </c>
      <c r="C66" s="4" t="s">
        <v>11</v>
      </c>
      <c r="D66" s="4">
        <v>5450.85</v>
      </c>
      <c r="E66" s="4">
        <v>1525.2</v>
      </c>
    </row>
    <row r="67" spans="1:5" x14ac:dyDescent="0.25">
      <c r="A67">
        <v>66</v>
      </c>
      <c r="B67" s="4" t="s">
        <v>11</v>
      </c>
      <c r="C67" s="4" t="s">
        <v>10</v>
      </c>
      <c r="D67" s="4">
        <v>6583.72</v>
      </c>
      <c r="E67" s="4">
        <v>4562.7</v>
      </c>
    </row>
    <row r="68" spans="1:5" x14ac:dyDescent="0.25">
      <c r="A68">
        <v>67</v>
      </c>
      <c r="B68" s="4" t="s">
        <v>11</v>
      </c>
      <c r="C68" s="4" t="s">
        <v>10</v>
      </c>
      <c r="D68" s="4">
        <v>4386.55</v>
      </c>
      <c r="E68" s="4">
        <v>1179.3000000000002</v>
      </c>
    </row>
    <row r="69" spans="1:5" x14ac:dyDescent="0.25">
      <c r="A69">
        <v>68</v>
      </c>
      <c r="B69" s="4" t="s">
        <v>11</v>
      </c>
      <c r="C69" s="4" t="s">
        <v>10</v>
      </c>
      <c r="D69" s="4">
        <v>2517.7399999999998</v>
      </c>
      <c r="E69" s="4">
        <v>4897.05</v>
      </c>
    </row>
    <row r="70" spans="1:5" x14ac:dyDescent="0.25">
      <c r="A70">
        <v>69</v>
      </c>
      <c r="B70" s="4" t="s">
        <v>11</v>
      </c>
      <c r="C70" s="4" t="s">
        <v>11</v>
      </c>
      <c r="D70" s="4">
        <v>4215.01</v>
      </c>
      <c r="E70" s="4">
        <v>1403.25</v>
      </c>
    </row>
    <row r="71" spans="1:5" x14ac:dyDescent="0.25">
      <c r="A71">
        <v>70</v>
      </c>
      <c r="B71" s="4" t="s">
        <v>11</v>
      </c>
      <c r="C71" s="4" t="s">
        <v>11</v>
      </c>
      <c r="D71" s="4">
        <v>4146.13</v>
      </c>
      <c r="E71" s="4">
        <v>3613.2</v>
      </c>
    </row>
    <row r="72" spans="1:5" x14ac:dyDescent="0.25">
      <c r="A72">
        <v>71</v>
      </c>
      <c r="B72" s="4" t="s">
        <v>11</v>
      </c>
      <c r="C72" s="4" t="s">
        <v>11</v>
      </c>
      <c r="D72" s="4">
        <v>6269.75</v>
      </c>
      <c r="E72" s="4">
        <v>1810.5</v>
      </c>
    </row>
    <row r="73" spans="1:5" x14ac:dyDescent="0.25">
      <c r="A73">
        <v>72</v>
      </c>
      <c r="B73" s="4" t="s">
        <v>11</v>
      </c>
      <c r="C73" s="4" t="s">
        <v>11</v>
      </c>
      <c r="D73" s="4">
        <v>4124.55</v>
      </c>
      <c r="E73" s="4">
        <v>3290.7</v>
      </c>
    </row>
    <row r="74" spans="1:5" x14ac:dyDescent="0.25">
      <c r="A74">
        <v>73</v>
      </c>
      <c r="B74" s="4" t="s">
        <v>11</v>
      </c>
      <c r="C74" s="4" t="s">
        <v>11</v>
      </c>
      <c r="D74" s="4">
        <v>3863.5</v>
      </c>
      <c r="E74" s="4">
        <v>3889.7999999999997</v>
      </c>
    </row>
    <row r="75" spans="1:5" x14ac:dyDescent="0.25">
      <c r="A75">
        <v>74</v>
      </c>
      <c r="B75" s="4" t="s">
        <v>11</v>
      </c>
      <c r="C75" s="4" t="s">
        <v>10</v>
      </c>
      <c r="D75" s="4">
        <v>3405.75</v>
      </c>
      <c r="E75" s="4">
        <v>1282.8</v>
      </c>
    </row>
    <row r="76" spans="1:5" x14ac:dyDescent="0.25">
      <c r="A76">
        <v>75</v>
      </c>
      <c r="B76" s="4" t="s">
        <v>11</v>
      </c>
      <c r="C76" s="4" t="s">
        <v>11</v>
      </c>
      <c r="D76" s="4">
        <v>2892.9</v>
      </c>
      <c r="E76" s="4">
        <v>4096.8</v>
      </c>
    </row>
    <row r="77" spans="1:5" x14ac:dyDescent="0.25">
      <c r="A77">
        <v>76</v>
      </c>
      <c r="B77" s="4" t="s">
        <v>11</v>
      </c>
      <c r="C77" s="4" t="s">
        <v>11</v>
      </c>
      <c r="D77" s="4">
        <v>9129.66</v>
      </c>
      <c r="E77" s="4">
        <v>2653.2</v>
      </c>
    </row>
    <row r="78" spans="1:5" x14ac:dyDescent="0.25">
      <c r="A78">
        <v>77</v>
      </c>
      <c r="B78" s="4" t="s">
        <v>10</v>
      </c>
      <c r="C78" s="4" t="s">
        <v>10</v>
      </c>
      <c r="D78" s="4">
        <v>5550.56</v>
      </c>
      <c r="E78" s="4">
        <v>1028.8500000000001</v>
      </c>
    </row>
    <row r="79" spans="1:5" x14ac:dyDescent="0.25">
      <c r="A79">
        <v>78</v>
      </c>
      <c r="B79" s="4" t="s">
        <v>11</v>
      </c>
      <c r="C79" s="4" t="s">
        <v>11</v>
      </c>
      <c r="D79" s="4">
        <v>1892.37</v>
      </c>
      <c r="E79" s="4">
        <v>2361.75</v>
      </c>
    </row>
    <row r="80" spans="1:5" x14ac:dyDescent="0.25">
      <c r="A80">
        <v>79</v>
      </c>
      <c r="B80" s="4" t="s">
        <v>11</v>
      </c>
      <c r="C80" s="4" t="s">
        <v>11</v>
      </c>
      <c r="D80" s="4">
        <v>2295.23</v>
      </c>
      <c r="E80" s="4">
        <v>4197.45</v>
      </c>
    </row>
    <row r="81" spans="1:5" x14ac:dyDescent="0.25">
      <c r="A81">
        <v>80</v>
      </c>
      <c r="B81" s="4" t="s">
        <v>10</v>
      </c>
      <c r="C81" s="4" t="s">
        <v>11</v>
      </c>
      <c r="D81" s="4">
        <v>2263.81</v>
      </c>
      <c r="E81" s="4">
        <v>2541.15</v>
      </c>
    </row>
    <row r="82" spans="1:5" x14ac:dyDescent="0.25">
      <c r="A82">
        <v>81</v>
      </c>
      <c r="B82" s="4" t="s">
        <v>11</v>
      </c>
      <c r="C82" s="4" t="s">
        <v>10</v>
      </c>
      <c r="D82" s="4">
        <v>7746.63</v>
      </c>
      <c r="E82" s="4">
        <v>2493.75</v>
      </c>
    </row>
    <row r="83" spans="1:5" x14ac:dyDescent="0.25">
      <c r="A83">
        <v>82</v>
      </c>
      <c r="B83" s="4" t="s">
        <v>11</v>
      </c>
      <c r="C83" s="4" t="s">
        <v>11</v>
      </c>
      <c r="D83" s="4">
        <v>1940.17</v>
      </c>
      <c r="E83" s="4">
        <v>3131.85</v>
      </c>
    </row>
    <row r="84" spans="1:5" x14ac:dyDescent="0.25">
      <c r="A84">
        <v>83</v>
      </c>
      <c r="B84" s="4" t="s">
        <v>10</v>
      </c>
      <c r="C84" s="4" t="s">
        <v>10</v>
      </c>
      <c r="D84" s="4">
        <v>2044.21</v>
      </c>
      <c r="E84" s="4">
        <v>1856.1</v>
      </c>
    </row>
    <row r="85" spans="1:5" x14ac:dyDescent="0.25">
      <c r="A85">
        <v>84</v>
      </c>
      <c r="B85" s="4" t="s">
        <v>11</v>
      </c>
      <c r="C85" s="4" t="s">
        <v>11</v>
      </c>
      <c r="D85" s="4">
        <v>2225.7399999999998</v>
      </c>
      <c r="E85" s="4">
        <v>3233.5499999999997</v>
      </c>
    </row>
    <row r="86" spans="1:5" x14ac:dyDescent="0.25">
      <c r="A86">
        <v>85</v>
      </c>
      <c r="B86" s="4" t="s">
        <v>10</v>
      </c>
      <c r="C86" s="4" t="s">
        <v>11</v>
      </c>
      <c r="D86" s="4">
        <v>6166.33</v>
      </c>
      <c r="E86" s="4">
        <v>1839.3000000000002</v>
      </c>
    </row>
    <row r="87" spans="1:5" x14ac:dyDescent="0.25">
      <c r="A87">
        <v>86</v>
      </c>
      <c r="B87" s="4" t="s">
        <v>11</v>
      </c>
      <c r="C87" s="4" t="s">
        <v>10</v>
      </c>
      <c r="D87" s="4">
        <v>5193.6099999999997</v>
      </c>
      <c r="E87" s="4">
        <v>988.65</v>
      </c>
    </row>
    <row r="88" spans="1:5" x14ac:dyDescent="0.25">
      <c r="A88">
        <v>87</v>
      </c>
      <c r="B88" s="4" t="s">
        <v>10</v>
      </c>
      <c r="C88" s="4" t="s">
        <v>10</v>
      </c>
      <c r="D88" s="4">
        <v>4548.6099999999997</v>
      </c>
      <c r="E88" s="4">
        <v>1088.7</v>
      </c>
    </row>
    <row r="89" spans="1:5" x14ac:dyDescent="0.25">
      <c r="A89">
        <v>88</v>
      </c>
      <c r="B89" s="4" t="s">
        <v>11</v>
      </c>
      <c r="C89" s="4" t="s">
        <v>11</v>
      </c>
      <c r="D89" s="4">
        <v>2548.46</v>
      </c>
      <c r="E89" s="4">
        <v>4534.95</v>
      </c>
    </row>
    <row r="90" spans="1:5" x14ac:dyDescent="0.25">
      <c r="A90">
        <v>89</v>
      </c>
      <c r="B90" s="4" t="s">
        <v>10</v>
      </c>
      <c r="C90" s="4" t="s">
        <v>11</v>
      </c>
      <c r="D90" s="4">
        <v>5566.43</v>
      </c>
      <c r="E90" s="4">
        <v>1944.3000000000002</v>
      </c>
    </row>
    <row r="91" spans="1:5" x14ac:dyDescent="0.25">
      <c r="A91">
        <v>90</v>
      </c>
      <c r="B91" s="4" t="s">
        <v>11</v>
      </c>
      <c r="C91" s="4" t="s">
        <v>11</v>
      </c>
      <c r="D91" s="4">
        <v>4593.38</v>
      </c>
      <c r="E91" s="4">
        <v>2434.1999999999998</v>
      </c>
    </row>
    <row r="92" spans="1:5" x14ac:dyDescent="0.25">
      <c r="A92">
        <v>91</v>
      </c>
      <c r="B92" s="4" t="s">
        <v>10</v>
      </c>
      <c r="C92" s="4" t="s">
        <v>11</v>
      </c>
      <c r="D92" s="4">
        <v>4516.8999999999996</v>
      </c>
      <c r="E92" s="4">
        <v>1622.25</v>
      </c>
    </row>
    <row r="93" spans="1:5" x14ac:dyDescent="0.25">
      <c r="A93">
        <v>92</v>
      </c>
      <c r="B93" s="4" t="s">
        <v>10</v>
      </c>
      <c r="C93" s="4" t="s">
        <v>11</v>
      </c>
      <c r="D93" s="4">
        <v>6172.24</v>
      </c>
      <c r="E93" s="4">
        <v>1844.85</v>
      </c>
    </row>
    <row r="94" spans="1:5" x14ac:dyDescent="0.25">
      <c r="A94">
        <v>93</v>
      </c>
      <c r="B94" s="4" t="s">
        <v>11</v>
      </c>
      <c r="C94" s="4" t="s">
        <v>11</v>
      </c>
      <c r="D94" s="4">
        <v>3910.81</v>
      </c>
      <c r="E94" s="4">
        <v>2708.4</v>
      </c>
    </row>
    <row r="95" spans="1:5" x14ac:dyDescent="0.25">
      <c r="A95">
        <v>94</v>
      </c>
      <c r="B95" s="4" t="s">
        <v>10</v>
      </c>
      <c r="C95" s="4" t="s">
        <v>11</v>
      </c>
      <c r="D95" s="4">
        <v>2263.81</v>
      </c>
      <c r="E95" s="4">
        <v>2541.15</v>
      </c>
    </row>
    <row r="96" spans="1:5" x14ac:dyDescent="0.25">
      <c r="A96">
        <v>95</v>
      </c>
      <c r="B96" s="4" t="s">
        <v>11</v>
      </c>
      <c r="C96" s="4" t="s">
        <v>10</v>
      </c>
      <c r="D96" s="4">
        <v>4417.16</v>
      </c>
      <c r="E96" s="4">
        <v>2044.0500000000002</v>
      </c>
    </row>
    <row r="97" spans="1:5" x14ac:dyDescent="0.25">
      <c r="A97">
        <v>96</v>
      </c>
      <c r="B97" s="4" t="s">
        <v>11</v>
      </c>
      <c r="C97" s="4" t="s">
        <v>11</v>
      </c>
      <c r="D97" s="4">
        <v>2019.98</v>
      </c>
      <c r="E97" s="4">
        <v>4338.75</v>
      </c>
    </row>
    <row r="98" spans="1:5" x14ac:dyDescent="0.25">
      <c r="A98">
        <v>97</v>
      </c>
      <c r="B98" s="4" t="s">
        <v>11</v>
      </c>
      <c r="C98" s="4" t="s">
        <v>11</v>
      </c>
      <c r="D98" s="4">
        <v>7046.11</v>
      </c>
      <c r="E98" s="4">
        <v>1851.6</v>
      </c>
    </row>
    <row r="99" spans="1:5" x14ac:dyDescent="0.25">
      <c r="A99">
        <v>98</v>
      </c>
      <c r="B99" s="4" t="s">
        <v>11</v>
      </c>
      <c r="C99" s="4" t="s">
        <v>11</v>
      </c>
      <c r="D99" s="4">
        <v>5180.13</v>
      </c>
      <c r="E99" s="4">
        <v>1646.7</v>
      </c>
    </row>
    <row r="100" spans="1:5" x14ac:dyDescent="0.25">
      <c r="A100">
        <v>99</v>
      </c>
      <c r="B100" s="4" t="s">
        <v>11</v>
      </c>
      <c r="C100" s="4" t="s">
        <v>11</v>
      </c>
      <c r="D100" s="4">
        <v>3266.44</v>
      </c>
      <c r="E100" s="4">
        <v>1641.6</v>
      </c>
    </row>
    <row r="101" spans="1:5" x14ac:dyDescent="0.25">
      <c r="A101">
        <v>100</v>
      </c>
      <c r="B101" s="4" t="s">
        <v>10</v>
      </c>
      <c r="C101" s="4" t="s">
        <v>10</v>
      </c>
      <c r="D101" s="4">
        <v>2082.23</v>
      </c>
      <c r="E101" s="4">
        <v>1564.95</v>
      </c>
    </row>
    <row r="102" spans="1:5" x14ac:dyDescent="0.25">
      <c r="A102">
        <v>101</v>
      </c>
      <c r="B102" s="4" t="s">
        <v>11</v>
      </c>
      <c r="C102" s="4" t="s">
        <v>11</v>
      </c>
      <c r="D102" s="4">
        <v>8369.8799999999992</v>
      </c>
      <c r="E102" s="4">
        <v>3089.4</v>
      </c>
    </row>
    <row r="103" spans="1:5" x14ac:dyDescent="0.25">
      <c r="A103">
        <v>102</v>
      </c>
      <c r="B103" s="4" t="s">
        <v>11</v>
      </c>
      <c r="C103" s="4" t="s">
        <v>11</v>
      </c>
      <c r="D103" s="4">
        <v>4947.28</v>
      </c>
      <c r="E103" s="4">
        <v>3132.9</v>
      </c>
    </row>
    <row r="104" spans="1:5" x14ac:dyDescent="0.25">
      <c r="A104">
        <v>103</v>
      </c>
      <c r="B104" s="4" t="s">
        <v>10</v>
      </c>
      <c r="C104" s="4" t="s">
        <v>10</v>
      </c>
      <c r="D104" s="4">
        <v>5201.34</v>
      </c>
      <c r="E104" s="4">
        <v>1601.55</v>
      </c>
    </row>
    <row r="105" spans="1:5" x14ac:dyDescent="0.25">
      <c r="A105">
        <v>104</v>
      </c>
      <c r="B105" s="4" t="s">
        <v>11</v>
      </c>
      <c r="C105" s="4" t="s">
        <v>10</v>
      </c>
      <c r="D105" s="4">
        <v>3905.34</v>
      </c>
      <c r="E105" s="4">
        <v>1524.6</v>
      </c>
    </row>
    <row r="106" spans="1:5" x14ac:dyDescent="0.25">
      <c r="A106">
        <v>105</v>
      </c>
      <c r="B106" s="4" t="s">
        <v>11</v>
      </c>
      <c r="C106" s="4" t="s">
        <v>11</v>
      </c>
      <c r="D106" s="4">
        <v>5124.22</v>
      </c>
      <c r="E106" s="4">
        <v>1219.2</v>
      </c>
    </row>
    <row r="107" spans="1:5" x14ac:dyDescent="0.25">
      <c r="A107">
        <v>106</v>
      </c>
      <c r="B107" s="4" t="s">
        <v>11</v>
      </c>
      <c r="C107" s="4" t="s">
        <v>11</v>
      </c>
      <c r="D107" s="4">
        <v>4275.3500000000004</v>
      </c>
      <c r="E107" s="4">
        <v>3001.35</v>
      </c>
    </row>
    <row r="108" spans="1:5" x14ac:dyDescent="0.25">
      <c r="A108">
        <v>107</v>
      </c>
      <c r="B108" s="4" t="s">
        <v>10</v>
      </c>
      <c r="C108" s="4" t="s">
        <v>11</v>
      </c>
      <c r="D108" s="4">
        <v>3787.29</v>
      </c>
      <c r="E108" s="4">
        <v>2058.75</v>
      </c>
    </row>
    <row r="109" spans="1:5" x14ac:dyDescent="0.25">
      <c r="A109">
        <v>108</v>
      </c>
      <c r="B109" s="4" t="s">
        <v>11</v>
      </c>
      <c r="C109" s="4" t="s">
        <v>11</v>
      </c>
      <c r="D109" s="4">
        <v>3543.34</v>
      </c>
      <c r="E109" s="4">
        <v>2934.6</v>
      </c>
    </row>
    <row r="110" spans="1:5" x14ac:dyDescent="0.25">
      <c r="A110">
        <v>109</v>
      </c>
      <c r="B110" s="4" t="s">
        <v>11</v>
      </c>
      <c r="C110" s="4" t="s">
        <v>10</v>
      </c>
      <c r="D110" s="4">
        <v>8795.73</v>
      </c>
      <c r="E110" s="4">
        <v>846.45</v>
      </c>
    </row>
    <row r="111" spans="1:5" x14ac:dyDescent="0.25">
      <c r="A111">
        <v>110</v>
      </c>
      <c r="B111" s="4" t="s">
        <v>11</v>
      </c>
      <c r="C111" s="4" t="s">
        <v>11</v>
      </c>
      <c r="D111" s="4">
        <v>4040.09</v>
      </c>
      <c r="E111" s="4">
        <v>2014.5000000000002</v>
      </c>
    </row>
    <row r="112" spans="1:5" x14ac:dyDescent="0.25">
      <c r="A112">
        <v>111</v>
      </c>
      <c r="B112" s="4" t="s">
        <v>11</v>
      </c>
      <c r="C112" s="4" t="s">
        <v>11</v>
      </c>
      <c r="D112" s="4">
        <v>3474.23</v>
      </c>
      <c r="E112" s="4">
        <v>2320.9499999999998</v>
      </c>
    </row>
    <row r="113" spans="1:5" x14ac:dyDescent="0.25">
      <c r="A113">
        <v>112</v>
      </c>
      <c r="B113" s="4" t="s">
        <v>11</v>
      </c>
      <c r="C113" s="4" t="s">
        <v>11</v>
      </c>
      <c r="D113" s="4">
        <v>6798.94</v>
      </c>
      <c r="E113" s="4">
        <v>2151.6</v>
      </c>
    </row>
    <row r="114" spans="1:5" x14ac:dyDescent="0.25">
      <c r="A114">
        <v>113</v>
      </c>
      <c r="B114" s="4" t="s">
        <v>11</v>
      </c>
      <c r="C114" s="4" t="s">
        <v>11</v>
      </c>
      <c r="D114" s="4">
        <v>6769.31</v>
      </c>
      <c r="E114" s="4">
        <v>2826.9</v>
      </c>
    </row>
    <row r="115" spans="1:5" x14ac:dyDescent="0.25">
      <c r="A115">
        <v>114</v>
      </c>
      <c r="B115" s="4" t="s">
        <v>10</v>
      </c>
      <c r="C115" s="4" t="s">
        <v>11</v>
      </c>
      <c r="D115" s="4">
        <v>5149.7</v>
      </c>
      <c r="E115" s="4">
        <v>1447.95</v>
      </c>
    </row>
    <row r="116" spans="1:5" x14ac:dyDescent="0.25">
      <c r="A116">
        <v>115</v>
      </c>
      <c r="B116" s="4" t="s">
        <v>11</v>
      </c>
      <c r="C116" s="4" t="s">
        <v>11</v>
      </c>
      <c r="D116" s="4">
        <v>4358.51</v>
      </c>
      <c r="E116" s="4">
        <v>4215.8999999999996</v>
      </c>
    </row>
    <row r="117" spans="1:5" x14ac:dyDescent="0.25">
      <c r="A117">
        <v>116</v>
      </c>
      <c r="B117" s="4" t="s">
        <v>11</v>
      </c>
      <c r="C117" s="4" t="s">
        <v>11</v>
      </c>
      <c r="D117" s="4">
        <v>4641.26</v>
      </c>
      <c r="E117" s="4">
        <v>4458</v>
      </c>
    </row>
    <row r="118" spans="1:5" x14ac:dyDescent="0.25">
      <c r="A118">
        <v>117</v>
      </c>
      <c r="B118" s="4" t="s">
        <v>11</v>
      </c>
      <c r="C118" s="4" t="s">
        <v>11</v>
      </c>
      <c r="D118" s="4">
        <v>6102.03</v>
      </c>
      <c r="E118" s="4">
        <v>3075</v>
      </c>
    </row>
    <row r="119" spans="1:5" x14ac:dyDescent="0.25">
      <c r="A119">
        <v>118</v>
      </c>
      <c r="B119" s="4" t="s">
        <v>11</v>
      </c>
      <c r="C119" s="4" t="s">
        <v>11</v>
      </c>
      <c r="D119" s="4">
        <v>2313.6</v>
      </c>
      <c r="E119" s="4">
        <v>4487.55</v>
      </c>
    </row>
    <row r="120" spans="1:5" x14ac:dyDescent="0.25">
      <c r="A120">
        <v>119</v>
      </c>
      <c r="B120" s="4" t="s">
        <v>10</v>
      </c>
      <c r="C120" s="4" t="s">
        <v>11</v>
      </c>
      <c r="D120" s="4">
        <v>3760.1</v>
      </c>
      <c r="E120" s="4">
        <v>1342.05</v>
      </c>
    </row>
    <row r="121" spans="1:5" x14ac:dyDescent="0.25">
      <c r="A121">
        <v>120</v>
      </c>
      <c r="B121" s="4" t="s">
        <v>11</v>
      </c>
      <c r="C121" s="4" t="s">
        <v>11</v>
      </c>
      <c r="D121" s="4">
        <v>3789.64</v>
      </c>
      <c r="E121" s="4">
        <v>2153.85</v>
      </c>
    </row>
    <row r="122" spans="1:5" x14ac:dyDescent="0.25">
      <c r="A122">
        <v>121</v>
      </c>
      <c r="B122" s="4" t="s">
        <v>11</v>
      </c>
      <c r="C122" s="4" t="s">
        <v>11</v>
      </c>
      <c r="D122" s="4">
        <v>6397.4</v>
      </c>
      <c r="E122" s="4">
        <v>1326.8999999999999</v>
      </c>
    </row>
    <row r="123" spans="1:5" x14ac:dyDescent="0.25">
      <c r="A123">
        <v>122</v>
      </c>
      <c r="B123" s="4" t="s">
        <v>10</v>
      </c>
      <c r="D123" s="4">
        <v>3285.29</v>
      </c>
      <c r="E123" s="4">
        <v>1763.8500000000001</v>
      </c>
    </row>
    <row r="124" spans="1:5" x14ac:dyDescent="0.25">
      <c r="A124">
        <v>123</v>
      </c>
      <c r="B124" s="4" t="s">
        <v>11</v>
      </c>
      <c r="C124" s="4" t="s">
        <v>10</v>
      </c>
      <c r="D124" s="4">
        <v>4191.24</v>
      </c>
      <c r="E124" s="4">
        <v>1495.5</v>
      </c>
    </row>
    <row r="125" spans="1:5" x14ac:dyDescent="0.25">
      <c r="A125">
        <v>124</v>
      </c>
      <c r="B125" s="4" t="s">
        <v>11</v>
      </c>
      <c r="C125" s="4" t="s">
        <v>11</v>
      </c>
      <c r="D125" s="4">
        <v>3654.11</v>
      </c>
      <c r="E125" s="4">
        <v>4412.7</v>
      </c>
    </row>
    <row r="126" spans="1:5" x14ac:dyDescent="0.25">
      <c r="A126">
        <v>125</v>
      </c>
      <c r="B126" s="4" t="s">
        <v>10</v>
      </c>
      <c r="C126" s="4" t="s">
        <v>11</v>
      </c>
      <c r="D126" s="4">
        <v>3465.14</v>
      </c>
      <c r="E126" s="4">
        <v>864.3</v>
      </c>
    </row>
    <row r="127" spans="1:5" x14ac:dyDescent="0.25">
      <c r="A127">
        <v>126</v>
      </c>
      <c r="B127" s="4" t="s">
        <v>11</v>
      </c>
      <c r="C127" s="4" t="s">
        <v>11</v>
      </c>
      <c r="D127" s="4">
        <v>6102.03</v>
      </c>
      <c r="E127" s="4">
        <v>3075</v>
      </c>
    </row>
    <row r="128" spans="1:5" x14ac:dyDescent="0.25">
      <c r="A128">
        <v>127</v>
      </c>
      <c r="B128" s="4" t="s">
        <v>11</v>
      </c>
      <c r="C128" s="4" t="s">
        <v>11</v>
      </c>
      <c r="D128" s="4">
        <v>3046.45</v>
      </c>
      <c r="E128" s="4">
        <v>2623.05</v>
      </c>
    </row>
    <row r="129" spans="1:5" x14ac:dyDescent="0.25">
      <c r="A129">
        <v>128</v>
      </c>
      <c r="B129" s="4" t="s">
        <v>11</v>
      </c>
      <c r="C129" s="4" t="s">
        <v>10</v>
      </c>
      <c r="D129" s="4">
        <v>4722.17</v>
      </c>
      <c r="E129" s="4">
        <v>1617.9</v>
      </c>
    </row>
    <row r="130" spans="1:5" x14ac:dyDescent="0.25">
      <c r="A130">
        <v>129</v>
      </c>
      <c r="C130" s="4" t="s">
        <v>10</v>
      </c>
      <c r="D130" s="4">
        <v>2238.08</v>
      </c>
      <c r="E130" s="4">
        <v>1934.55</v>
      </c>
    </row>
    <row r="131" spans="1:5" x14ac:dyDescent="0.25">
      <c r="A131">
        <v>130</v>
      </c>
      <c r="B131" s="4" t="s">
        <v>11</v>
      </c>
      <c r="C131" s="4" t="s">
        <v>10</v>
      </c>
      <c r="D131" s="4">
        <v>3100.41</v>
      </c>
      <c r="E131" s="4">
        <v>2224.1999999999998</v>
      </c>
    </row>
    <row r="132" spans="1:5" x14ac:dyDescent="0.25">
      <c r="A132">
        <v>131</v>
      </c>
      <c r="B132" s="4" t="s">
        <v>11</v>
      </c>
      <c r="C132" s="4" t="s">
        <v>11</v>
      </c>
      <c r="D132" s="4">
        <v>4487.07</v>
      </c>
      <c r="E132" s="4">
        <v>3594.9</v>
      </c>
    </row>
    <row r="133" spans="1:5" x14ac:dyDescent="0.25">
      <c r="A133">
        <v>132</v>
      </c>
      <c r="B133" s="4" t="s">
        <v>10</v>
      </c>
      <c r="C133" s="4" t="s">
        <v>11</v>
      </c>
      <c r="D133" s="4">
        <v>2216.6999999999998</v>
      </c>
      <c r="E133" s="4">
        <v>1944.4499999999998</v>
      </c>
    </row>
    <row r="134" spans="1:5" x14ac:dyDescent="0.25">
      <c r="A134">
        <v>133</v>
      </c>
      <c r="B134" s="4" t="s">
        <v>11</v>
      </c>
      <c r="C134" s="4" t="s">
        <v>11</v>
      </c>
      <c r="D134" s="4">
        <v>3316.9</v>
      </c>
      <c r="E134" s="4">
        <v>2395.65</v>
      </c>
    </row>
    <row r="135" spans="1:5" x14ac:dyDescent="0.25">
      <c r="A135">
        <v>134</v>
      </c>
      <c r="B135" s="4" t="s">
        <v>11</v>
      </c>
      <c r="C135" s="4" t="s">
        <v>11</v>
      </c>
      <c r="D135" s="4">
        <v>2487.89</v>
      </c>
      <c r="E135" s="4">
        <v>1715.25</v>
      </c>
    </row>
    <row r="136" spans="1:5" x14ac:dyDescent="0.25">
      <c r="A136">
        <v>135</v>
      </c>
      <c r="B136" s="4" t="s">
        <v>11</v>
      </c>
      <c r="C136" s="4" t="s">
        <v>11</v>
      </c>
      <c r="D136" s="4">
        <v>5560.73</v>
      </c>
      <c r="E136" s="4">
        <v>2184.15</v>
      </c>
    </row>
    <row r="137" spans="1:5" x14ac:dyDescent="0.25">
      <c r="A137">
        <v>136</v>
      </c>
      <c r="B137" s="4" t="s">
        <v>11</v>
      </c>
      <c r="C137" s="4" t="s">
        <v>11</v>
      </c>
      <c r="D137" s="4">
        <v>4840.4799999999996</v>
      </c>
      <c r="E137" s="4">
        <v>2712.75</v>
      </c>
    </row>
    <row r="138" spans="1:5" x14ac:dyDescent="0.25">
      <c r="A138">
        <v>137</v>
      </c>
      <c r="B138" s="4" t="s">
        <v>10</v>
      </c>
      <c r="C138" s="4" t="s">
        <v>10</v>
      </c>
      <c r="D138" s="4">
        <v>2424.61</v>
      </c>
      <c r="E138" s="4">
        <v>1385.25</v>
      </c>
    </row>
    <row r="139" spans="1:5" x14ac:dyDescent="0.25">
      <c r="A139">
        <v>138</v>
      </c>
      <c r="B139" s="4" t="s">
        <v>11</v>
      </c>
      <c r="C139" s="4" t="s">
        <v>11</v>
      </c>
      <c r="D139" s="4">
        <v>8714.0300000000007</v>
      </c>
      <c r="E139" s="4">
        <v>3760.95</v>
      </c>
    </row>
    <row r="140" spans="1:5" x14ac:dyDescent="0.25">
      <c r="A140">
        <v>139</v>
      </c>
      <c r="B140" s="4" t="s">
        <v>10</v>
      </c>
      <c r="C140" s="4" t="s">
        <v>11</v>
      </c>
      <c r="D140" s="4">
        <v>5963.75</v>
      </c>
      <c r="E140" s="4">
        <v>1313.8500000000001</v>
      </c>
    </row>
    <row r="141" spans="1:5" x14ac:dyDescent="0.25">
      <c r="A141">
        <v>140</v>
      </c>
      <c r="B141" s="4" t="s">
        <v>11</v>
      </c>
      <c r="C141" s="4" t="s">
        <v>11</v>
      </c>
      <c r="D141" s="4">
        <v>9350.1299999999992</v>
      </c>
      <c r="E141" s="4">
        <v>3237.4500000000003</v>
      </c>
    </row>
    <row r="142" spans="1:5" x14ac:dyDescent="0.25">
      <c r="A142">
        <v>141</v>
      </c>
      <c r="B142" s="4" t="s">
        <v>11</v>
      </c>
      <c r="C142" s="4" t="s">
        <v>10</v>
      </c>
      <c r="D142" s="4">
        <v>3932.29</v>
      </c>
      <c r="E142" s="4">
        <v>3434.8500000000004</v>
      </c>
    </row>
    <row r="143" spans="1:5" x14ac:dyDescent="0.25">
      <c r="A143">
        <v>142</v>
      </c>
      <c r="B143" s="4" t="s">
        <v>10</v>
      </c>
      <c r="C143" s="4" t="s">
        <v>11</v>
      </c>
      <c r="D143" s="4">
        <v>3840.28</v>
      </c>
      <c r="E143" s="4">
        <v>2751.4500000000003</v>
      </c>
    </row>
    <row r="144" spans="1:5" x14ac:dyDescent="0.25">
      <c r="A144">
        <v>143</v>
      </c>
      <c r="B144" s="4" t="s">
        <v>11</v>
      </c>
      <c r="D144" s="4">
        <v>4809.1000000000004</v>
      </c>
      <c r="E144" s="4">
        <v>4055.4</v>
      </c>
    </row>
    <row r="145" spans="1:5" x14ac:dyDescent="0.25">
      <c r="A145">
        <v>144</v>
      </c>
      <c r="B145" s="4" t="s">
        <v>11</v>
      </c>
      <c r="C145" s="4" t="s">
        <v>11</v>
      </c>
      <c r="D145" s="4">
        <v>3413.42</v>
      </c>
      <c r="E145" s="4">
        <v>3506.7</v>
      </c>
    </row>
    <row r="146" spans="1:5" x14ac:dyDescent="0.25">
      <c r="A146">
        <v>145</v>
      </c>
      <c r="B146" s="4" t="s">
        <v>11</v>
      </c>
      <c r="C146" s="4" t="s">
        <v>10</v>
      </c>
      <c r="D146" s="4">
        <v>2617</v>
      </c>
      <c r="E146" s="4">
        <v>1721.4</v>
      </c>
    </row>
    <row r="147" spans="1:5" x14ac:dyDescent="0.25">
      <c r="A147">
        <v>146</v>
      </c>
      <c r="B147" s="4" t="s">
        <v>11</v>
      </c>
      <c r="C147" s="4" t="s">
        <v>11</v>
      </c>
      <c r="D147" s="4">
        <v>3447.63</v>
      </c>
      <c r="E147" s="4">
        <v>4308.4500000000007</v>
      </c>
    </row>
    <row r="148" spans="1:5" x14ac:dyDescent="0.25">
      <c r="A148">
        <v>147</v>
      </c>
      <c r="B148" s="4" t="s">
        <v>11</v>
      </c>
      <c r="C148" s="4" t="s">
        <v>11</v>
      </c>
      <c r="D148" s="4">
        <v>4840.4799999999996</v>
      </c>
      <c r="E148" s="4">
        <v>2712.75</v>
      </c>
    </row>
    <row r="149" spans="1:5" x14ac:dyDescent="0.25">
      <c r="A149">
        <v>148</v>
      </c>
      <c r="B149" s="4" t="s">
        <v>10</v>
      </c>
      <c r="C149" s="4" t="s">
        <v>11</v>
      </c>
      <c r="D149" s="4">
        <v>3333.11</v>
      </c>
      <c r="E149" s="4">
        <v>3328.35</v>
      </c>
    </row>
    <row r="150" spans="1:5" x14ac:dyDescent="0.25">
      <c r="A150">
        <v>149</v>
      </c>
      <c r="B150" s="4" t="s">
        <v>11</v>
      </c>
      <c r="C150" s="4" t="s">
        <v>10</v>
      </c>
      <c r="D150" s="4">
        <v>2863.2</v>
      </c>
      <c r="E150" s="4">
        <v>3294.45</v>
      </c>
    </row>
    <row r="151" spans="1:5" x14ac:dyDescent="0.25">
      <c r="A151">
        <v>150</v>
      </c>
      <c r="B151" s="4" t="s">
        <v>10</v>
      </c>
      <c r="C151" s="4" t="s">
        <v>11</v>
      </c>
      <c r="D151" s="4">
        <v>2040.42</v>
      </c>
      <c r="E151" s="4">
        <v>2182.9499999999998</v>
      </c>
    </row>
    <row r="152" spans="1:5" x14ac:dyDescent="0.25">
      <c r="A152">
        <v>151</v>
      </c>
      <c r="B152" s="4" t="s">
        <v>11</v>
      </c>
      <c r="C152" s="4" t="s">
        <v>10</v>
      </c>
      <c r="D152" s="4">
        <v>5751.82</v>
      </c>
      <c r="E152" s="4">
        <v>958.80000000000007</v>
      </c>
    </row>
    <row r="153" spans="1:5" x14ac:dyDescent="0.25">
      <c r="A153">
        <v>152</v>
      </c>
      <c r="B153" s="4" t="s">
        <v>11</v>
      </c>
      <c r="C153" s="4" t="s">
        <v>11</v>
      </c>
      <c r="D153" s="4">
        <v>2905.97</v>
      </c>
      <c r="E153" s="4">
        <v>4102.95</v>
      </c>
    </row>
    <row r="154" spans="1:5" x14ac:dyDescent="0.25">
      <c r="A154">
        <v>153</v>
      </c>
      <c r="B154" s="4" t="s">
        <v>10</v>
      </c>
      <c r="C154" s="4" t="s">
        <v>11</v>
      </c>
      <c r="D154" s="4">
        <v>2216.6999999999998</v>
      </c>
      <c r="E154" s="4">
        <v>1944.4499999999998</v>
      </c>
    </row>
    <row r="155" spans="1:5" x14ac:dyDescent="0.25">
      <c r="A155">
        <v>154</v>
      </c>
      <c r="B155" s="4" t="s">
        <v>11</v>
      </c>
      <c r="C155" s="4" t="s">
        <v>10</v>
      </c>
      <c r="D155" s="4">
        <v>5391.08</v>
      </c>
      <c r="E155" s="4">
        <v>807</v>
      </c>
    </row>
    <row r="156" spans="1:5" x14ac:dyDescent="0.25">
      <c r="A156">
        <v>155</v>
      </c>
      <c r="B156" s="4" t="s">
        <v>11</v>
      </c>
      <c r="C156" s="4" t="s">
        <v>10</v>
      </c>
      <c r="D156" s="4">
        <v>3098.74</v>
      </c>
      <c r="E156" s="4">
        <v>735.30000000000007</v>
      </c>
    </row>
    <row r="157" spans="1:5" x14ac:dyDescent="0.25">
      <c r="A157">
        <v>156</v>
      </c>
      <c r="B157" s="4" t="s">
        <v>11</v>
      </c>
      <c r="C157" s="4" t="s">
        <v>10</v>
      </c>
      <c r="D157" s="4">
        <v>5101.83</v>
      </c>
      <c r="E157" s="4">
        <v>880.2</v>
      </c>
    </row>
    <row r="158" spans="1:5" x14ac:dyDescent="0.25">
      <c r="A158">
        <v>157</v>
      </c>
      <c r="B158" s="4" t="s">
        <v>11</v>
      </c>
      <c r="C158" s="4" t="s">
        <v>11</v>
      </c>
      <c r="D158" s="4">
        <v>4593.38</v>
      </c>
      <c r="E158" s="4">
        <v>2434.1999999999998</v>
      </c>
    </row>
    <row r="159" spans="1:5" x14ac:dyDescent="0.25">
      <c r="A159">
        <v>158</v>
      </c>
      <c r="B159" s="4" t="s">
        <v>11</v>
      </c>
      <c r="C159" s="4" t="s">
        <v>11</v>
      </c>
      <c r="D159" s="4">
        <v>5011.88</v>
      </c>
      <c r="E159" s="4">
        <v>3065.25</v>
      </c>
    </row>
    <row r="160" spans="1:5" x14ac:dyDescent="0.25">
      <c r="A160">
        <v>159</v>
      </c>
      <c r="B160" s="4" t="s">
        <v>11</v>
      </c>
      <c r="C160" s="4" t="s">
        <v>11</v>
      </c>
      <c r="D160" s="4">
        <v>3647.27</v>
      </c>
      <c r="E160" s="4">
        <v>3225.1499999999996</v>
      </c>
    </row>
    <row r="161" spans="1:5" x14ac:dyDescent="0.25">
      <c r="A161">
        <v>160</v>
      </c>
      <c r="B161" s="4" t="s">
        <v>11</v>
      </c>
      <c r="C161" s="4" t="s">
        <v>10</v>
      </c>
      <c r="D161" s="4">
        <v>3042.25</v>
      </c>
      <c r="E161" s="4">
        <v>1154.3999999999999</v>
      </c>
    </row>
    <row r="162" spans="1:5" x14ac:dyDescent="0.25">
      <c r="A162">
        <v>161</v>
      </c>
      <c r="B162" s="4" t="s">
        <v>10</v>
      </c>
      <c r="C162" s="4" t="s">
        <v>10</v>
      </c>
      <c r="D162" s="4">
        <v>5706.76</v>
      </c>
      <c r="E162" s="4">
        <v>1591.65</v>
      </c>
    </row>
    <row r="163" spans="1:5" x14ac:dyDescent="0.25">
      <c r="A163">
        <v>162</v>
      </c>
      <c r="B163" s="4" t="s">
        <v>11</v>
      </c>
      <c r="C163" s="4" t="s">
        <v>11</v>
      </c>
      <c r="D163" s="4">
        <v>7046.98</v>
      </c>
      <c r="E163" s="4">
        <v>3607.2</v>
      </c>
    </row>
    <row r="164" spans="1:5" x14ac:dyDescent="0.25">
      <c r="A164">
        <v>163</v>
      </c>
      <c r="B164" s="4" t="s">
        <v>10</v>
      </c>
      <c r="C164" s="4" t="s">
        <v>11</v>
      </c>
      <c r="D164" s="4">
        <v>5565.54</v>
      </c>
      <c r="E164" s="4">
        <v>3010.35</v>
      </c>
    </row>
    <row r="165" spans="1:5" x14ac:dyDescent="0.25">
      <c r="A165">
        <v>164</v>
      </c>
      <c r="B165" s="4" t="s">
        <v>11</v>
      </c>
      <c r="C165" s="4" t="s">
        <v>10</v>
      </c>
      <c r="D165" s="4">
        <v>3702.18</v>
      </c>
      <c r="E165" s="4">
        <v>939.45</v>
      </c>
    </row>
    <row r="166" spans="1:5" x14ac:dyDescent="0.25">
      <c r="A166">
        <v>165</v>
      </c>
      <c r="B166" s="4" t="s">
        <v>10</v>
      </c>
      <c r="C166" s="4" t="s">
        <v>11</v>
      </c>
      <c r="D166" s="4">
        <v>5121.24</v>
      </c>
      <c r="E166" s="4">
        <v>2217</v>
      </c>
    </row>
    <row r="167" spans="1:5" x14ac:dyDescent="0.25">
      <c r="A167">
        <v>166</v>
      </c>
      <c r="C167" s="4" t="s">
        <v>11</v>
      </c>
      <c r="D167" s="4">
        <v>3123.35</v>
      </c>
      <c r="E167" s="4">
        <v>1769.55</v>
      </c>
    </row>
    <row r="168" spans="1:5" x14ac:dyDescent="0.25">
      <c r="A168">
        <v>167</v>
      </c>
      <c r="B168" s="4" t="s">
        <v>10</v>
      </c>
      <c r="C168" s="4" t="s">
        <v>11</v>
      </c>
      <c r="D168" s="4">
        <v>3536.16</v>
      </c>
      <c r="E168" s="4">
        <v>2148</v>
      </c>
    </row>
    <row r="169" spans="1:5" x14ac:dyDescent="0.25">
      <c r="A169">
        <v>168</v>
      </c>
      <c r="B169" s="4" t="s">
        <v>11</v>
      </c>
      <c r="C169" s="4" t="s">
        <v>11</v>
      </c>
      <c r="D169" s="4">
        <v>4523.3100000000004</v>
      </c>
      <c r="E169" s="4">
        <v>3512.25</v>
      </c>
    </row>
    <row r="170" spans="1:5" x14ac:dyDescent="0.25">
      <c r="A170">
        <v>169</v>
      </c>
      <c r="B170" s="4" t="s">
        <v>11</v>
      </c>
      <c r="C170" s="4" t="s">
        <v>10</v>
      </c>
      <c r="D170" s="4">
        <v>4601.96</v>
      </c>
      <c r="E170" s="4">
        <v>974.55</v>
      </c>
    </row>
    <row r="171" spans="1:5" x14ac:dyDescent="0.25">
      <c r="A171">
        <v>170</v>
      </c>
      <c r="B171" s="4" t="s">
        <v>11</v>
      </c>
      <c r="C171" s="4" t="s">
        <v>11</v>
      </c>
      <c r="D171" s="4">
        <v>1940.17</v>
      </c>
      <c r="E171" s="4">
        <v>3131.85</v>
      </c>
    </row>
    <row r="172" spans="1:5" x14ac:dyDescent="0.25">
      <c r="A172">
        <v>171</v>
      </c>
      <c r="B172" s="4" t="s">
        <v>11</v>
      </c>
      <c r="C172" s="4" t="s">
        <v>11</v>
      </c>
      <c r="D172" s="4">
        <v>2617.87</v>
      </c>
      <c r="E172" s="4">
        <v>3359.8500000000004</v>
      </c>
    </row>
    <row r="173" spans="1:5" x14ac:dyDescent="0.25">
      <c r="A173">
        <v>172</v>
      </c>
      <c r="B173" s="4" t="s">
        <v>11</v>
      </c>
      <c r="C173" s="4" t="s">
        <v>11</v>
      </c>
      <c r="D173" s="4">
        <v>7617.69</v>
      </c>
      <c r="E173" s="4">
        <v>3458.4</v>
      </c>
    </row>
    <row r="174" spans="1:5" x14ac:dyDescent="0.25">
      <c r="A174">
        <v>173</v>
      </c>
      <c r="B174" s="4" t="s">
        <v>10</v>
      </c>
      <c r="C174" s="4" t="s">
        <v>11</v>
      </c>
      <c r="D174" s="4">
        <v>3362.86</v>
      </c>
      <c r="E174" s="4">
        <v>5616</v>
      </c>
    </row>
    <row r="175" spans="1:5" x14ac:dyDescent="0.25">
      <c r="A175">
        <v>174</v>
      </c>
      <c r="B175" s="4" t="s">
        <v>10</v>
      </c>
      <c r="C175" s="4" t="s">
        <v>11</v>
      </c>
      <c r="D175" s="4">
        <v>5313.07</v>
      </c>
      <c r="E175" s="4">
        <v>2083.1999999999998</v>
      </c>
    </row>
    <row r="176" spans="1:5" x14ac:dyDescent="0.25">
      <c r="A176">
        <v>175</v>
      </c>
      <c r="B176" s="4" t="s">
        <v>11</v>
      </c>
      <c r="C176" s="4" t="s">
        <v>10</v>
      </c>
      <c r="D176" s="4">
        <v>4662.4399999999996</v>
      </c>
      <c r="E176" s="4">
        <v>2589.4499999999998</v>
      </c>
    </row>
    <row r="177" spans="1:5" x14ac:dyDescent="0.25">
      <c r="A177">
        <v>176</v>
      </c>
      <c r="B177" s="4" t="s">
        <v>10</v>
      </c>
      <c r="C177" s="4" t="s">
        <v>11</v>
      </c>
      <c r="D177" s="4">
        <v>2422.98</v>
      </c>
      <c r="E177" s="4">
        <v>1858.35</v>
      </c>
    </row>
    <row r="178" spans="1:5" x14ac:dyDescent="0.25">
      <c r="A178">
        <v>177</v>
      </c>
      <c r="B178" s="4" t="s">
        <v>11</v>
      </c>
      <c r="C178" s="4" t="s">
        <v>10</v>
      </c>
      <c r="D178" s="4">
        <v>5266.72</v>
      </c>
      <c r="E178" s="4">
        <v>859.94999999999993</v>
      </c>
    </row>
    <row r="179" spans="1:5" x14ac:dyDescent="0.25">
      <c r="A179">
        <v>178</v>
      </c>
      <c r="B179" s="4" t="s">
        <v>10</v>
      </c>
      <c r="C179" s="4" t="s">
        <v>10</v>
      </c>
      <c r="D179" s="4">
        <v>2844.24</v>
      </c>
      <c r="E179" s="4">
        <v>1173.5999999999999</v>
      </c>
    </row>
    <row r="180" spans="1:5" x14ac:dyDescent="0.25">
      <c r="A180">
        <v>179</v>
      </c>
      <c r="B180" s="4" t="s">
        <v>11</v>
      </c>
      <c r="C180" s="4" t="s">
        <v>11</v>
      </c>
      <c r="D180" s="4">
        <v>9185.2800000000007</v>
      </c>
      <c r="E180" s="4">
        <v>3116.3999999999996</v>
      </c>
    </row>
    <row r="181" spans="1:5" x14ac:dyDescent="0.25">
      <c r="A181">
        <v>180</v>
      </c>
      <c r="B181" s="4" t="s">
        <v>11</v>
      </c>
      <c r="C181" s="4" t="s">
        <v>11</v>
      </c>
      <c r="D181" s="4">
        <v>6140.91</v>
      </c>
      <c r="E181" s="4">
        <v>4671.8999999999996</v>
      </c>
    </row>
    <row r="182" spans="1:5" x14ac:dyDescent="0.25">
      <c r="A182">
        <v>181</v>
      </c>
      <c r="B182" s="4" t="s">
        <v>11</v>
      </c>
      <c r="C182" s="4" t="s">
        <v>11</v>
      </c>
      <c r="D182" s="4">
        <v>6334.03</v>
      </c>
      <c r="E182" s="4">
        <v>2500.0499999999997</v>
      </c>
    </row>
    <row r="183" spans="1:5" x14ac:dyDescent="0.25">
      <c r="A183">
        <v>182</v>
      </c>
      <c r="B183" s="4" t="s">
        <v>11</v>
      </c>
      <c r="C183" s="4" t="s">
        <v>10</v>
      </c>
      <c r="D183" s="4">
        <v>3059.78</v>
      </c>
      <c r="E183" s="4">
        <v>1114.2</v>
      </c>
    </row>
    <row r="184" spans="1:5" x14ac:dyDescent="0.25">
      <c r="A184">
        <v>183</v>
      </c>
      <c r="B184" s="4" t="s">
        <v>11</v>
      </c>
      <c r="C184" s="4" t="s">
        <v>11</v>
      </c>
      <c r="D184" s="4">
        <v>4597.29</v>
      </c>
      <c r="E184" s="4">
        <v>2634.9</v>
      </c>
    </row>
    <row r="185" spans="1:5" x14ac:dyDescent="0.25">
      <c r="A185">
        <v>184</v>
      </c>
      <c r="B185" s="4" t="s">
        <v>11</v>
      </c>
      <c r="C185" s="4" t="s">
        <v>11</v>
      </c>
      <c r="D185" s="4">
        <v>3911.17</v>
      </c>
      <c r="E185" s="4">
        <v>2353.9500000000003</v>
      </c>
    </row>
    <row r="186" spans="1:5" x14ac:dyDescent="0.25">
      <c r="A186">
        <v>185</v>
      </c>
      <c r="B186" s="4" t="s">
        <v>11</v>
      </c>
      <c r="C186" s="4" t="s">
        <v>11</v>
      </c>
      <c r="D186" s="4">
        <v>4840.4799999999996</v>
      </c>
      <c r="E186" s="4">
        <v>2712.75</v>
      </c>
    </row>
    <row r="187" spans="1:5" x14ac:dyDescent="0.25">
      <c r="A187">
        <v>186</v>
      </c>
      <c r="B187" s="4" t="s">
        <v>11</v>
      </c>
      <c r="C187" s="4" t="s">
        <v>10</v>
      </c>
      <c r="D187" s="4">
        <v>4992.63</v>
      </c>
      <c r="E187" s="4">
        <v>1016.7</v>
      </c>
    </row>
    <row r="188" spans="1:5" x14ac:dyDescent="0.25">
      <c r="A188">
        <v>187</v>
      </c>
      <c r="B188" s="4" t="s">
        <v>11</v>
      </c>
      <c r="C188" s="4" t="s">
        <v>11</v>
      </c>
      <c r="D188" s="4">
        <v>2617.87</v>
      </c>
      <c r="E188" s="4">
        <v>3359.8500000000004</v>
      </c>
    </row>
    <row r="189" spans="1:5" x14ac:dyDescent="0.25">
      <c r="A189">
        <v>188</v>
      </c>
      <c r="B189" s="4" t="s">
        <v>11</v>
      </c>
      <c r="C189" s="4" t="s">
        <v>11</v>
      </c>
      <c r="D189" s="4">
        <v>3316.9</v>
      </c>
      <c r="E189" s="4">
        <v>2395.65</v>
      </c>
    </row>
    <row r="190" spans="1:5" x14ac:dyDescent="0.25">
      <c r="A190">
        <v>189</v>
      </c>
      <c r="B190" s="4" t="s">
        <v>10</v>
      </c>
      <c r="C190" s="4" t="s">
        <v>11</v>
      </c>
      <c r="D190" s="4">
        <v>3787.29</v>
      </c>
      <c r="E190" s="4">
        <v>2058.75</v>
      </c>
    </row>
    <row r="191" spans="1:5" x14ac:dyDescent="0.25">
      <c r="A191">
        <v>190</v>
      </c>
      <c r="B191" s="4" t="s">
        <v>11</v>
      </c>
      <c r="C191" s="4" t="s">
        <v>11</v>
      </c>
      <c r="D191" s="4">
        <v>4947.28</v>
      </c>
      <c r="E191" s="4">
        <v>3132.9</v>
      </c>
    </row>
    <row r="192" spans="1:5" x14ac:dyDescent="0.25">
      <c r="A192">
        <v>191</v>
      </c>
      <c r="B192" s="4" t="s">
        <v>11</v>
      </c>
      <c r="C192" s="4" t="s">
        <v>11</v>
      </c>
      <c r="D192" s="4">
        <v>4146.13</v>
      </c>
      <c r="E192" s="4">
        <v>3613.2</v>
      </c>
    </row>
    <row r="193" spans="1:5" x14ac:dyDescent="0.25">
      <c r="A193">
        <v>192</v>
      </c>
      <c r="B193" s="4" t="s">
        <v>10</v>
      </c>
      <c r="C193" s="4" t="s">
        <v>11</v>
      </c>
      <c r="D193" s="4">
        <v>6865.77</v>
      </c>
      <c r="E193" s="4">
        <v>5217.3</v>
      </c>
    </row>
    <row r="194" spans="1:5" x14ac:dyDescent="0.25">
      <c r="A194">
        <v>193</v>
      </c>
      <c r="B194" s="4" t="s">
        <v>11</v>
      </c>
      <c r="C194" s="4" t="s">
        <v>10</v>
      </c>
      <c r="D194" s="4">
        <v>5198.8500000000004</v>
      </c>
      <c r="E194" s="4">
        <v>987</v>
      </c>
    </row>
    <row r="195" spans="1:5" x14ac:dyDescent="0.25">
      <c r="A195">
        <v>194</v>
      </c>
      <c r="B195" s="4" t="s">
        <v>11</v>
      </c>
      <c r="C195" s="4" t="s">
        <v>11</v>
      </c>
      <c r="D195" s="4">
        <v>5472.07</v>
      </c>
      <c r="E195" s="4">
        <v>3775.95</v>
      </c>
    </row>
    <row r="196" spans="1:5" x14ac:dyDescent="0.25">
      <c r="A196">
        <v>195</v>
      </c>
      <c r="B196" s="4" t="s">
        <v>10</v>
      </c>
      <c r="C196" s="4" t="s">
        <v>11</v>
      </c>
      <c r="D196" s="4">
        <v>1706.89</v>
      </c>
      <c r="E196" s="4">
        <v>2507.4</v>
      </c>
    </row>
    <row r="197" spans="1:5" x14ac:dyDescent="0.25">
      <c r="A197">
        <v>196</v>
      </c>
      <c r="B197" s="4" t="s">
        <v>11</v>
      </c>
      <c r="C197" s="4" t="s">
        <v>11</v>
      </c>
      <c r="D197" s="4">
        <v>3647.27</v>
      </c>
      <c r="E197" s="4">
        <v>3225.1499999999996</v>
      </c>
    </row>
    <row r="198" spans="1:5" x14ac:dyDescent="0.25">
      <c r="A198">
        <v>197</v>
      </c>
      <c r="B198" s="4" t="s">
        <v>11</v>
      </c>
      <c r="C198" s="4" t="s">
        <v>11</v>
      </c>
      <c r="D198" s="4">
        <v>3105.31</v>
      </c>
      <c r="E198" s="4">
        <v>1056.1499999999999</v>
      </c>
    </row>
    <row r="199" spans="1:5" x14ac:dyDescent="0.25">
      <c r="A199">
        <v>198</v>
      </c>
      <c r="B199" s="4" t="s">
        <v>10</v>
      </c>
      <c r="C199" s="4" t="s">
        <v>10</v>
      </c>
      <c r="D199" s="4">
        <v>3362.86</v>
      </c>
      <c r="E199" s="4">
        <v>5616</v>
      </c>
    </row>
    <row r="200" spans="1:5" x14ac:dyDescent="0.25">
      <c r="A200">
        <v>199</v>
      </c>
      <c r="B200" s="4" t="s">
        <v>11</v>
      </c>
      <c r="C200" s="4" t="s">
        <v>11</v>
      </c>
      <c r="D200" s="4">
        <v>5560.73</v>
      </c>
      <c r="E200" s="4">
        <v>2184.15</v>
      </c>
    </row>
    <row r="201" spans="1:5" x14ac:dyDescent="0.25">
      <c r="A201">
        <v>200</v>
      </c>
      <c r="B201" s="4" t="s">
        <v>11</v>
      </c>
      <c r="C201" s="4" t="s">
        <v>11</v>
      </c>
      <c r="D201" s="4">
        <v>4384.63</v>
      </c>
      <c r="E201" s="4">
        <v>1570.8</v>
      </c>
    </row>
    <row r="202" spans="1:5" x14ac:dyDescent="0.25">
      <c r="A202">
        <v>201</v>
      </c>
      <c r="B202" s="4" t="s">
        <v>10</v>
      </c>
      <c r="C202" s="4" t="s">
        <v>10</v>
      </c>
      <c r="D202" s="4">
        <v>5619.02</v>
      </c>
      <c r="E202" s="4">
        <v>796.05</v>
      </c>
    </row>
    <row r="203" spans="1:5" x14ac:dyDescent="0.25">
      <c r="A203">
        <v>202</v>
      </c>
      <c r="B203" s="4" t="s">
        <v>11</v>
      </c>
      <c r="C203" s="4" t="s">
        <v>10</v>
      </c>
      <c r="D203" s="4">
        <v>3042.25</v>
      </c>
      <c r="E203" s="4">
        <v>1154.3999999999999</v>
      </c>
    </row>
    <row r="204" spans="1:5" x14ac:dyDescent="0.25">
      <c r="A204">
        <v>203</v>
      </c>
      <c r="B204" s="4" t="s">
        <v>10</v>
      </c>
      <c r="C204" s="4" t="s">
        <v>11</v>
      </c>
      <c r="D204" s="4">
        <v>3042.09</v>
      </c>
      <c r="E204" s="4">
        <v>1873.8</v>
      </c>
    </row>
    <row r="205" spans="1:5" x14ac:dyDescent="0.25">
      <c r="A205">
        <v>204</v>
      </c>
      <c r="B205" s="4" t="s">
        <v>11</v>
      </c>
      <c r="C205" s="4" t="s">
        <v>11</v>
      </c>
      <c r="D205" s="4">
        <v>3428.64</v>
      </c>
      <c r="E205" s="4">
        <v>1910.6999999999998</v>
      </c>
    </row>
    <row r="206" spans="1:5" x14ac:dyDescent="0.25">
      <c r="A206">
        <v>205</v>
      </c>
      <c r="B206" s="4" t="s">
        <v>11</v>
      </c>
      <c r="C206" s="4" t="s">
        <v>10</v>
      </c>
      <c r="D206" s="4">
        <v>3702.18</v>
      </c>
      <c r="E206" s="4">
        <v>939.45</v>
      </c>
    </row>
    <row r="207" spans="1:5" x14ac:dyDescent="0.25">
      <c r="A207">
        <v>206</v>
      </c>
      <c r="B207" s="4" t="s">
        <v>11</v>
      </c>
      <c r="C207" s="4" t="s">
        <v>11</v>
      </c>
      <c r="D207" s="4">
        <v>5465.98</v>
      </c>
      <c r="E207" s="4">
        <v>3383.4</v>
      </c>
    </row>
    <row r="208" spans="1:5" x14ac:dyDescent="0.25">
      <c r="A208">
        <v>207</v>
      </c>
      <c r="B208" s="4" t="s">
        <v>11</v>
      </c>
      <c r="C208" s="4" t="s">
        <v>11</v>
      </c>
      <c r="D208" s="4">
        <v>5560.73</v>
      </c>
      <c r="E208" s="4">
        <v>2184.15</v>
      </c>
    </row>
    <row r="209" spans="1:5" x14ac:dyDescent="0.25">
      <c r="A209">
        <v>208</v>
      </c>
      <c r="B209" s="4" t="s">
        <v>10</v>
      </c>
      <c r="C209" s="4" t="s">
        <v>11</v>
      </c>
      <c r="D209" s="4">
        <v>2682.54</v>
      </c>
      <c r="E209" s="4">
        <v>1816.3500000000001</v>
      </c>
    </row>
    <row r="210" spans="1:5" x14ac:dyDescent="0.25">
      <c r="A210">
        <v>209</v>
      </c>
      <c r="B210" s="4" t="s">
        <v>11</v>
      </c>
      <c r="C210" s="4" t="s">
        <v>10</v>
      </c>
      <c r="D210" s="4">
        <v>3725.96</v>
      </c>
      <c r="E210" s="4">
        <v>1282.2</v>
      </c>
    </row>
    <row r="211" spans="1:5" x14ac:dyDescent="0.25">
      <c r="A211">
        <v>210</v>
      </c>
      <c r="B211" s="4" t="s">
        <v>10</v>
      </c>
      <c r="C211" s="4" t="s">
        <v>10</v>
      </c>
      <c r="D211" s="4">
        <v>3690.13</v>
      </c>
      <c r="E211" s="4">
        <v>1694.85</v>
      </c>
    </row>
    <row r="212" spans="1:5" x14ac:dyDescent="0.25">
      <c r="A212">
        <v>211</v>
      </c>
      <c r="B212" s="4" t="s">
        <v>11</v>
      </c>
      <c r="C212" s="4" t="s">
        <v>11</v>
      </c>
      <c r="D212" s="4">
        <v>7138.34</v>
      </c>
      <c r="E212" s="4">
        <v>2729.8500000000004</v>
      </c>
    </row>
    <row r="213" spans="1:5" x14ac:dyDescent="0.25">
      <c r="A213">
        <v>212</v>
      </c>
      <c r="B213" s="4" t="s">
        <v>11</v>
      </c>
      <c r="C213" s="4" t="s">
        <v>11</v>
      </c>
      <c r="D213" s="4">
        <v>3447.63</v>
      </c>
      <c r="E213" s="4">
        <v>4308.4500000000007</v>
      </c>
    </row>
    <row r="214" spans="1:5" x14ac:dyDescent="0.25">
      <c r="A214">
        <v>213</v>
      </c>
      <c r="B214" s="4" t="s">
        <v>10</v>
      </c>
      <c r="C214" s="4" t="s">
        <v>11</v>
      </c>
      <c r="D214" s="4">
        <v>3375.37</v>
      </c>
      <c r="E214" s="4">
        <v>1581.75</v>
      </c>
    </row>
    <row r="215" spans="1:5" x14ac:dyDescent="0.25">
      <c r="A215">
        <v>214</v>
      </c>
      <c r="B215" s="4" t="s">
        <v>11</v>
      </c>
      <c r="C215" s="4" t="s">
        <v>10</v>
      </c>
      <c r="D215" s="4">
        <v>5222.3</v>
      </c>
      <c r="E215" s="4">
        <v>1266.8999999999999</v>
      </c>
    </row>
    <row r="216" spans="1:5" x14ac:dyDescent="0.25">
      <c r="A216">
        <v>215</v>
      </c>
      <c r="B216" s="4" t="s">
        <v>10</v>
      </c>
      <c r="C216" s="4" t="s">
        <v>11</v>
      </c>
      <c r="D216" s="4">
        <v>6037.84</v>
      </c>
      <c r="E216" s="4">
        <v>3069.3</v>
      </c>
    </row>
    <row r="217" spans="1:5" x14ac:dyDescent="0.25">
      <c r="A217">
        <v>216</v>
      </c>
      <c r="B217" s="4" t="s">
        <v>11</v>
      </c>
      <c r="C217" s="4" t="s">
        <v>11</v>
      </c>
      <c r="D217" s="4">
        <v>8117.12</v>
      </c>
      <c r="E217" s="4">
        <v>3875.55</v>
      </c>
    </row>
    <row r="218" spans="1:5" x14ac:dyDescent="0.25">
      <c r="A218">
        <v>217</v>
      </c>
      <c r="B218" s="4" t="s">
        <v>11</v>
      </c>
      <c r="C218" s="4" t="s">
        <v>10</v>
      </c>
      <c r="D218" s="4">
        <v>6337.2</v>
      </c>
    </row>
    <row r="219" spans="1:5" x14ac:dyDescent="0.25">
      <c r="A219">
        <v>218</v>
      </c>
      <c r="B219" s="4" t="s">
        <v>11</v>
      </c>
      <c r="C219" s="4" t="s">
        <v>11</v>
      </c>
      <c r="D219" s="4">
        <v>2487.89</v>
      </c>
      <c r="E219" s="4">
        <v>1715.25</v>
      </c>
    </row>
    <row r="220" spans="1:5" x14ac:dyDescent="0.25">
      <c r="A220">
        <v>219</v>
      </c>
      <c r="C220" s="4" t="s">
        <v>11</v>
      </c>
      <c r="D220" s="4">
        <v>2225.7399999999998</v>
      </c>
      <c r="E220" s="4">
        <v>3233.5499999999997</v>
      </c>
    </row>
    <row r="221" spans="1:5" x14ac:dyDescent="0.25">
      <c r="A221">
        <v>220</v>
      </c>
      <c r="B221" s="4" t="s">
        <v>11</v>
      </c>
      <c r="C221" s="4" t="s">
        <v>11</v>
      </c>
      <c r="D221" s="4">
        <v>5570.8</v>
      </c>
      <c r="E221" s="4">
        <v>3794.55</v>
      </c>
    </row>
    <row r="222" spans="1:5" x14ac:dyDescent="0.25">
      <c r="A222">
        <v>221</v>
      </c>
      <c r="B222" s="4" t="s">
        <v>11</v>
      </c>
      <c r="C222" s="4" t="s">
        <v>11</v>
      </c>
      <c r="D222" s="4">
        <v>3863.5</v>
      </c>
      <c r="E222" s="4">
        <v>3889.7999999999997</v>
      </c>
    </row>
    <row r="223" spans="1:5" x14ac:dyDescent="0.25">
      <c r="A223">
        <v>222</v>
      </c>
      <c r="B223" s="4" t="s">
        <v>11</v>
      </c>
      <c r="C223" s="4" t="s">
        <v>11</v>
      </c>
      <c r="D223" s="4">
        <v>3264.94</v>
      </c>
      <c r="E223" s="4">
        <v>4398.1499999999996</v>
      </c>
    </row>
    <row r="224" spans="1:5" x14ac:dyDescent="0.25">
      <c r="A224">
        <v>223</v>
      </c>
      <c r="B224" s="4" t="s">
        <v>11</v>
      </c>
      <c r="C224" s="4" t="s">
        <v>11</v>
      </c>
      <c r="D224" s="4">
        <v>5921.73</v>
      </c>
      <c r="E224" s="4">
        <v>3741.75</v>
      </c>
    </row>
    <row r="225" spans="1:5" x14ac:dyDescent="0.25">
      <c r="A225">
        <v>224</v>
      </c>
      <c r="B225" s="4" t="s">
        <v>11</v>
      </c>
      <c r="C225" s="4" t="s">
        <v>11</v>
      </c>
      <c r="D225" s="4">
        <v>3329.81</v>
      </c>
      <c r="E225" s="4">
        <v>4107.45</v>
      </c>
    </row>
    <row r="226" spans="1:5" x14ac:dyDescent="0.25">
      <c r="A226">
        <v>225</v>
      </c>
      <c r="B226" s="4" t="s">
        <v>10</v>
      </c>
      <c r="C226" s="4" t="s">
        <v>10</v>
      </c>
      <c r="D226" s="4">
        <v>5265.15</v>
      </c>
      <c r="E226" s="4">
        <v>904.2</v>
      </c>
    </row>
    <row r="227" spans="1:5" x14ac:dyDescent="0.25">
      <c r="A227">
        <v>226</v>
      </c>
      <c r="B227" s="4" t="s">
        <v>11</v>
      </c>
      <c r="C227" s="4" t="s">
        <v>10</v>
      </c>
      <c r="D227" s="4">
        <v>2000.67</v>
      </c>
      <c r="E227" s="4">
        <v>2362.5</v>
      </c>
    </row>
    <row r="228" spans="1:5" x14ac:dyDescent="0.25">
      <c r="A228">
        <v>227</v>
      </c>
      <c r="B228" s="4" t="s">
        <v>11</v>
      </c>
      <c r="C228" s="4" t="s">
        <v>11</v>
      </c>
      <c r="D228" s="4">
        <v>5155.47</v>
      </c>
      <c r="E228" s="4">
        <v>6030.2999999999993</v>
      </c>
    </row>
    <row r="229" spans="1:5" x14ac:dyDescent="0.25">
      <c r="A229">
        <v>228</v>
      </c>
      <c r="B229" s="4" t="s">
        <v>11</v>
      </c>
      <c r="C229" s="4" t="s">
        <v>11</v>
      </c>
      <c r="D229" s="4">
        <v>2487.89</v>
      </c>
      <c r="E229" s="4">
        <v>1715.25</v>
      </c>
    </row>
    <row r="230" spans="1:5" x14ac:dyDescent="0.25">
      <c r="A230">
        <v>229</v>
      </c>
      <c r="B230" s="4" t="s">
        <v>11</v>
      </c>
      <c r="C230" s="4" t="s">
        <v>11</v>
      </c>
      <c r="D230" s="4">
        <v>5317.36</v>
      </c>
      <c r="E230" s="4">
        <v>2172.9</v>
      </c>
    </row>
    <row r="231" spans="1:5" x14ac:dyDescent="0.25">
      <c r="A231">
        <v>230</v>
      </c>
      <c r="B231" s="4" t="s">
        <v>11</v>
      </c>
      <c r="C231" s="4" t="s">
        <v>11</v>
      </c>
      <c r="D231" s="4">
        <v>3316.9</v>
      </c>
      <c r="E231" s="4">
        <v>2395.65</v>
      </c>
    </row>
    <row r="232" spans="1:5" x14ac:dyDescent="0.25">
      <c r="A232">
        <v>231</v>
      </c>
      <c r="B232" s="4" t="s">
        <v>11</v>
      </c>
      <c r="C232" s="4" t="s">
        <v>11</v>
      </c>
      <c r="D232" s="4">
        <v>1550.16</v>
      </c>
      <c r="E232" s="4">
        <v>2688.45</v>
      </c>
    </row>
    <row r="233" spans="1:5" x14ac:dyDescent="0.25">
      <c r="A233">
        <v>232</v>
      </c>
      <c r="B233" s="4" t="s">
        <v>11</v>
      </c>
      <c r="C233" s="4" t="s">
        <v>11</v>
      </c>
      <c r="D233" s="4">
        <v>3127.59</v>
      </c>
      <c r="E233" s="4">
        <v>4376.7</v>
      </c>
    </row>
    <row r="234" spans="1:5" x14ac:dyDescent="0.25">
      <c r="A234">
        <v>233</v>
      </c>
      <c r="B234" s="4" t="s">
        <v>11</v>
      </c>
      <c r="C234" s="4" t="s">
        <v>11</v>
      </c>
      <c r="D234" s="4">
        <v>8714.0300000000007</v>
      </c>
      <c r="E234" s="4">
        <v>3760.95</v>
      </c>
    </row>
    <row r="235" spans="1:5" x14ac:dyDescent="0.25">
      <c r="A235">
        <v>234</v>
      </c>
      <c r="B235" s="4" t="s">
        <v>11</v>
      </c>
      <c r="C235" s="4" t="s">
        <v>11</v>
      </c>
      <c r="D235" s="4">
        <v>2548.46</v>
      </c>
      <c r="E235" s="4">
        <v>4534.95</v>
      </c>
    </row>
    <row r="236" spans="1:5" x14ac:dyDescent="0.25">
      <c r="A236">
        <v>235</v>
      </c>
      <c r="B236" s="4" t="s">
        <v>11</v>
      </c>
      <c r="C236" s="4" t="s">
        <v>10</v>
      </c>
      <c r="D236" s="4">
        <v>5034.18</v>
      </c>
      <c r="E236" s="4">
        <v>852</v>
      </c>
    </row>
    <row r="237" spans="1:5" x14ac:dyDescent="0.25">
      <c r="A237">
        <v>236</v>
      </c>
      <c r="B237" s="4" t="s">
        <v>11</v>
      </c>
      <c r="C237" s="4" t="s">
        <v>11</v>
      </c>
      <c r="D237" s="4">
        <v>5006.45</v>
      </c>
      <c r="E237" s="4">
        <v>3278.1</v>
      </c>
    </row>
    <row r="238" spans="1:5" x14ac:dyDescent="0.25">
      <c r="A238">
        <v>237</v>
      </c>
      <c r="B238" s="4" t="s">
        <v>11</v>
      </c>
      <c r="C238" s="4" t="s">
        <v>11</v>
      </c>
      <c r="D238" s="4">
        <v>9935.07</v>
      </c>
      <c r="E238" s="4">
        <v>2011.3500000000001</v>
      </c>
    </row>
    <row r="239" spans="1:5" x14ac:dyDescent="0.25">
      <c r="A239">
        <v>238</v>
      </c>
      <c r="B239" s="4" t="s">
        <v>11</v>
      </c>
      <c r="C239" s="4" t="s">
        <v>10</v>
      </c>
      <c r="D239" s="4">
        <v>5117.49</v>
      </c>
      <c r="E239" s="4">
        <v>1152.1500000000001</v>
      </c>
    </row>
    <row r="240" spans="1:5" x14ac:dyDescent="0.25">
      <c r="A240">
        <v>239</v>
      </c>
      <c r="B240" s="4" t="s">
        <v>11</v>
      </c>
      <c r="C240" s="4" t="s">
        <v>11</v>
      </c>
      <c r="D240" s="4">
        <v>3910.81</v>
      </c>
      <c r="E240" s="4">
        <v>2708.4</v>
      </c>
    </row>
    <row r="241" spans="1:5" x14ac:dyDescent="0.25">
      <c r="A241">
        <v>240</v>
      </c>
      <c r="B241" s="4" t="s">
        <v>11</v>
      </c>
      <c r="C241" s="4" t="s">
        <v>11</v>
      </c>
      <c r="D241" s="4">
        <v>6131.6</v>
      </c>
      <c r="E241" s="4">
        <v>2097.15</v>
      </c>
    </row>
    <row r="242" spans="1:5" x14ac:dyDescent="0.25">
      <c r="A242">
        <v>241</v>
      </c>
      <c r="B242" s="4" t="s">
        <v>11</v>
      </c>
      <c r="C242" s="4" t="s">
        <v>10</v>
      </c>
      <c r="D242" s="4">
        <v>2800.91</v>
      </c>
      <c r="E242" s="4">
        <v>1036.5</v>
      </c>
    </row>
    <row r="243" spans="1:5" x14ac:dyDescent="0.25">
      <c r="A243">
        <v>242</v>
      </c>
      <c r="B243" s="4" t="s">
        <v>10</v>
      </c>
      <c r="C243" s="4" t="s">
        <v>11</v>
      </c>
      <c r="D243" s="4">
        <v>5566.43</v>
      </c>
      <c r="E243" s="4">
        <v>1944.3000000000002</v>
      </c>
    </row>
    <row r="244" spans="1:5" x14ac:dyDescent="0.25">
      <c r="A244">
        <v>243</v>
      </c>
      <c r="B244" s="4" t="s">
        <v>11</v>
      </c>
      <c r="C244" s="4" t="s">
        <v>11</v>
      </c>
      <c r="D244" s="4">
        <v>3428.64</v>
      </c>
      <c r="E244" s="4">
        <v>1910.6999999999998</v>
      </c>
    </row>
    <row r="245" spans="1:5" x14ac:dyDescent="0.25">
      <c r="A245">
        <v>244</v>
      </c>
      <c r="B245" s="4" t="s">
        <v>10</v>
      </c>
      <c r="C245" s="4" t="s">
        <v>11</v>
      </c>
      <c r="D245" s="4">
        <v>2828.16</v>
      </c>
      <c r="E245" s="4">
        <v>1847.7</v>
      </c>
    </row>
    <row r="246" spans="1:5" x14ac:dyDescent="0.25">
      <c r="A246">
        <v>245</v>
      </c>
      <c r="B246" s="4" t="s">
        <v>10</v>
      </c>
      <c r="C246" s="4" t="s">
        <v>11</v>
      </c>
      <c r="D246" s="4">
        <v>5335.32</v>
      </c>
      <c r="E246" s="4">
        <v>1714.2</v>
      </c>
    </row>
    <row r="247" spans="1:5" x14ac:dyDescent="0.25">
      <c r="A247">
        <v>246</v>
      </c>
      <c r="B247" s="4" t="s">
        <v>11</v>
      </c>
      <c r="C247" s="4" t="s">
        <v>10</v>
      </c>
      <c r="D247" s="4">
        <v>7262.65</v>
      </c>
      <c r="E247" s="4">
        <v>3006.15</v>
      </c>
    </row>
    <row r="248" spans="1:5" x14ac:dyDescent="0.25">
      <c r="A248">
        <v>247</v>
      </c>
      <c r="B248" s="4" t="s">
        <v>11</v>
      </c>
      <c r="C248" s="4" t="s">
        <v>11</v>
      </c>
      <c r="D248" s="4">
        <v>5898.74</v>
      </c>
      <c r="E248" s="4">
        <v>2548.5</v>
      </c>
    </row>
    <row r="249" spans="1:5" x14ac:dyDescent="0.25">
      <c r="A249">
        <v>248</v>
      </c>
      <c r="B249" s="4" t="s">
        <v>11</v>
      </c>
      <c r="C249" s="4" t="s">
        <v>11</v>
      </c>
      <c r="D249" s="4">
        <v>4636</v>
      </c>
      <c r="E249" s="4">
        <v>2997</v>
      </c>
    </row>
    <row r="250" spans="1:5" x14ac:dyDescent="0.25">
      <c r="A250">
        <v>249</v>
      </c>
      <c r="B250" s="4" t="s">
        <v>11</v>
      </c>
      <c r="C250" s="4" t="s">
        <v>10</v>
      </c>
      <c r="D250" s="4">
        <v>5552.01</v>
      </c>
      <c r="E250" s="4">
        <v>769.5</v>
      </c>
    </row>
    <row r="251" spans="1:5" x14ac:dyDescent="0.25">
      <c r="A251">
        <v>250</v>
      </c>
      <c r="B251" s="4" t="s">
        <v>11</v>
      </c>
      <c r="C251" s="4" t="s">
        <v>11</v>
      </c>
      <c r="D251" s="4">
        <v>2587.58</v>
      </c>
      <c r="E251" s="4">
        <v>1044</v>
      </c>
    </row>
    <row r="252" spans="1:5" x14ac:dyDescent="0.25">
      <c r="A252">
        <v>251</v>
      </c>
      <c r="B252" s="4" t="s">
        <v>11</v>
      </c>
      <c r="C252" s="4" t="s">
        <v>10</v>
      </c>
      <c r="D252" s="4">
        <v>3262.15</v>
      </c>
      <c r="E252" s="4">
        <v>1925.4</v>
      </c>
    </row>
    <row r="253" spans="1:5" x14ac:dyDescent="0.25">
      <c r="A253">
        <v>252</v>
      </c>
      <c r="B253" s="4" t="s">
        <v>11</v>
      </c>
      <c r="C253" s="4" t="s">
        <v>11</v>
      </c>
      <c r="D253" s="4">
        <v>6275.61</v>
      </c>
      <c r="E253" s="4">
        <v>3924.45</v>
      </c>
    </row>
    <row r="254" spans="1:5" x14ac:dyDescent="0.25">
      <c r="A254">
        <v>253</v>
      </c>
      <c r="B254" s="4" t="s">
        <v>11</v>
      </c>
      <c r="C254" s="4" t="s">
        <v>11</v>
      </c>
      <c r="D254" s="4">
        <v>4439.8599999999997</v>
      </c>
      <c r="E254" s="4">
        <v>3047.5499999999997</v>
      </c>
    </row>
    <row r="255" spans="1:5" x14ac:dyDescent="0.25">
      <c r="A255">
        <v>254</v>
      </c>
      <c r="B255" s="4" t="s">
        <v>10</v>
      </c>
      <c r="C255" s="4" t="s">
        <v>11</v>
      </c>
      <c r="D255" s="4">
        <v>2012.46</v>
      </c>
      <c r="E255" s="4">
        <v>3580.95</v>
      </c>
    </row>
    <row r="256" spans="1:5" x14ac:dyDescent="0.25">
      <c r="A256">
        <v>255</v>
      </c>
      <c r="B256" s="4" t="s">
        <v>10</v>
      </c>
      <c r="C256" s="4" t="s">
        <v>11</v>
      </c>
      <c r="D256" s="4">
        <v>4112.4399999999996</v>
      </c>
      <c r="E256" s="4">
        <v>2154.3000000000002</v>
      </c>
    </row>
    <row r="257" spans="1:5" x14ac:dyDescent="0.25">
      <c r="A257">
        <v>256</v>
      </c>
      <c r="B257" s="4" t="s">
        <v>11</v>
      </c>
      <c r="D257" s="4">
        <v>7251.37</v>
      </c>
      <c r="E257" s="4">
        <v>2534.4</v>
      </c>
    </row>
    <row r="258" spans="1:5" x14ac:dyDescent="0.25">
      <c r="A258">
        <v>257</v>
      </c>
      <c r="B258" s="4" t="s">
        <v>11</v>
      </c>
      <c r="C258" s="4" t="s">
        <v>10</v>
      </c>
      <c r="D258" s="4">
        <v>6172.95</v>
      </c>
      <c r="E258" s="4">
        <v>2874.45</v>
      </c>
    </row>
    <row r="259" spans="1:5" x14ac:dyDescent="0.25">
      <c r="A259">
        <v>258</v>
      </c>
      <c r="B259" s="4" t="s">
        <v>11</v>
      </c>
      <c r="C259" s="4" t="s">
        <v>11</v>
      </c>
      <c r="D259" s="4">
        <v>3977.23</v>
      </c>
      <c r="E259" s="4">
        <v>3463.05</v>
      </c>
    </row>
    <row r="260" spans="1:5" x14ac:dyDescent="0.25">
      <c r="A260">
        <v>259</v>
      </c>
      <c r="B260" s="4" t="s">
        <v>11</v>
      </c>
      <c r="C260" s="4" t="s">
        <v>11</v>
      </c>
      <c r="D260" s="4">
        <v>7968.63</v>
      </c>
      <c r="E260" s="4">
        <v>3526.5</v>
      </c>
    </row>
    <row r="261" spans="1:5" x14ac:dyDescent="0.25">
      <c r="A261">
        <v>260</v>
      </c>
      <c r="B261" s="4" t="s">
        <v>11</v>
      </c>
      <c r="C261" s="4" t="s">
        <v>11</v>
      </c>
      <c r="D261" s="4">
        <v>9978.49</v>
      </c>
      <c r="E261" s="4">
        <v>1256.0999999999999</v>
      </c>
    </row>
    <row r="262" spans="1:5" x14ac:dyDescent="0.25">
      <c r="A262">
        <v>261</v>
      </c>
      <c r="B262" s="4" t="s">
        <v>11</v>
      </c>
      <c r="C262" s="4" t="s">
        <v>11</v>
      </c>
      <c r="D262" s="4">
        <v>2517.7399999999998</v>
      </c>
      <c r="E262" s="4">
        <v>4897.05</v>
      </c>
    </row>
    <row r="263" spans="1:5" x14ac:dyDescent="0.25">
      <c r="A263">
        <v>262</v>
      </c>
      <c r="B263" s="4" t="s">
        <v>11</v>
      </c>
      <c r="C263" s="4" t="s">
        <v>11</v>
      </c>
      <c r="D263" s="4">
        <v>3300.08</v>
      </c>
      <c r="E263" s="4">
        <v>3479.55</v>
      </c>
    </row>
    <row r="264" spans="1:5" x14ac:dyDescent="0.25">
      <c r="A264">
        <v>263</v>
      </c>
      <c r="B264" s="4" t="s">
        <v>10</v>
      </c>
      <c r="C264" s="4" t="s">
        <v>11</v>
      </c>
      <c r="D264" s="4">
        <v>4014.79</v>
      </c>
      <c r="E264" s="4">
        <v>1888.5</v>
      </c>
    </row>
    <row r="265" spans="1:5" x14ac:dyDescent="0.25">
      <c r="A265">
        <v>264</v>
      </c>
      <c r="B265" s="4" t="s">
        <v>11</v>
      </c>
      <c r="C265" s="4" t="s">
        <v>11</v>
      </c>
      <c r="D265" s="4">
        <v>2626.9</v>
      </c>
      <c r="E265" s="4">
        <v>1758.45</v>
      </c>
    </row>
    <row r="266" spans="1:5" x14ac:dyDescent="0.25">
      <c r="A266">
        <v>265</v>
      </c>
      <c r="B266" s="4" t="s">
        <v>11</v>
      </c>
      <c r="C266" s="4" t="s">
        <v>10</v>
      </c>
      <c r="D266" s="4">
        <v>5583.02</v>
      </c>
      <c r="E266" s="4">
        <v>4723.2</v>
      </c>
    </row>
    <row r="267" spans="1:5" x14ac:dyDescent="0.25">
      <c r="A267">
        <v>266</v>
      </c>
      <c r="B267" s="4" t="s">
        <v>11</v>
      </c>
      <c r="C267" s="4" t="s">
        <v>11</v>
      </c>
      <c r="D267" s="4">
        <v>5898.74</v>
      </c>
      <c r="E267" s="4">
        <v>2548.5</v>
      </c>
    </row>
    <row r="268" spans="1:5" x14ac:dyDescent="0.25">
      <c r="A268">
        <v>267</v>
      </c>
      <c r="B268" s="4" t="s">
        <v>10</v>
      </c>
      <c r="C268" s="4" t="s">
        <v>10</v>
      </c>
      <c r="D268" s="4">
        <v>2781.55</v>
      </c>
      <c r="E268" s="4">
        <v>1052.3999999999999</v>
      </c>
    </row>
    <row r="269" spans="1:5" x14ac:dyDescent="0.25">
      <c r="A269">
        <v>268</v>
      </c>
      <c r="B269" s="4" t="s">
        <v>10</v>
      </c>
      <c r="C269" s="4" t="s">
        <v>11</v>
      </c>
      <c r="D269" s="4">
        <v>2263.81</v>
      </c>
      <c r="E269" s="4">
        <v>2541.15</v>
      </c>
    </row>
    <row r="270" spans="1:5" x14ac:dyDescent="0.25">
      <c r="A270">
        <v>269</v>
      </c>
      <c r="B270" s="4" t="s">
        <v>11</v>
      </c>
      <c r="C270" s="4" t="s">
        <v>11</v>
      </c>
      <c r="D270" s="4">
        <v>2967.59</v>
      </c>
      <c r="E270" s="4">
        <v>3702.75</v>
      </c>
    </row>
    <row r="271" spans="1:5" x14ac:dyDescent="0.25">
      <c r="A271">
        <v>270</v>
      </c>
      <c r="B271" s="4" t="s">
        <v>11</v>
      </c>
      <c r="C271" s="4" t="s">
        <v>11</v>
      </c>
      <c r="D271" s="4">
        <v>4579.82</v>
      </c>
      <c r="E271" s="4">
        <v>2905.0499999999997</v>
      </c>
    </row>
    <row r="272" spans="1:5" x14ac:dyDescent="0.25">
      <c r="A272">
        <v>271</v>
      </c>
      <c r="B272" s="4" t="s">
        <v>10</v>
      </c>
      <c r="C272" s="4" t="s">
        <v>11</v>
      </c>
      <c r="D272" s="4">
        <v>6172.12</v>
      </c>
      <c r="E272" s="4">
        <v>2575.0499999999997</v>
      </c>
    </row>
    <row r="273" spans="1:5" x14ac:dyDescent="0.25">
      <c r="A273">
        <v>272</v>
      </c>
      <c r="B273" s="4" t="s">
        <v>11</v>
      </c>
      <c r="C273" s="4" t="s">
        <v>11</v>
      </c>
      <c r="D273" s="4">
        <v>6143.2</v>
      </c>
      <c r="E273" s="4">
        <v>4175.8499999999995</v>
      </c>
    </row>
    <row r="274" spans="1:5" x14ac:dyDescent="0.25">
      <c r="A274">
        <v>273</v>
      </c>
      <c r="B274" s="4" t="s">
        <v>10</v>
      </c>
      <c r="C274" s="4" t="s">
        <v>11</v>
      </c>
      <c r="D274" s="4">
        <v>2386.85</v>
      </c>
      <c r="E274" s="4">
        <v>1859.55</v>
      </c>
    </row>
    <row r="275" spans="1:5" x14ac:dyDescent="0.25">
      <c r="A275">
        <v>274</v>
      </c>
      <c r="B275" s="4" t="s">
        <v>11</v>
      </c>
      <c r="C275" s="4" t="s">
        <v>11</v>
      </c>
      <c r="D275" s="4">
        <v>8369.8799999999992</v>
      </c>
      <c r="E275" s="4">
        <v>3089.4</v>
      </c>
    </row>
    <row r="276" spans="1:5" x14ac:dyDescent="0.25">
      <c r="A276">
        <v>275</v>
      </c>
      <c r="B276" s="4" t="s">
        <v>11</v>
      </c>
      <c r="C276" s="4" t="s">
        <v>11</v>
      </c>
      <c r="D276" s="4">
        <v>3362.86</v>
      </c>
      <c r="E276" s="4">
        <v>5616</v>
      </c>
    </row>
    <row r="277" spans="1:5" x14ac:dyDescent="0.25">
      <c r="A277">
        <v>276</v>
      </c>
      <c r="B277" s="4" t="s">
        <v>11</v>
      </c>
      <c r="C277" s="4" t="s">
        <v>10</v>
      </c>
      <c r="D277" s="4">
        <v>5255.24</v>
      </c>
      <c r="E277" s="4">
        <v>1036.8000000000002</v>
      </c>
    </row>
    <row r="278" spans="1:5" x14ac:dyDescent="0.25">
      <c r="A278">
        <v>277</v>
      </c>
      <c r="B278" s="4" t="s">
        <v>10</v>
      </c>
      <c r="C278" s="4" t="s">
        <v>10</v>
      </c>
      <c r="D278" s="4">
        <v>7641.73</v>
      </c>
      <c r="E278" s="4">
        <v>1086.45</v>
      </c>
    </row>
    <row r="279" spans="1:5" x14ac:dyDescent="0.25">
      <c r="A279">
        <v>278</v>
      </c>
      <c r="B279" s="4" t="s">
        <v>10</v>
      </c>
      <c r="C279" s="4" t="s">
        <v>11</v>
      </c>
      <c r="D279" s="4">
        <v>3198.81</v>
      </c>
      <c r="E279" s="4">
        <v>2379.4499999999998</v>
      </c>
    </row>
    <row r="280" spans="1:5" x14ac:dyDescent="0.25">
      <c r="A280">
        <v>279</v>
      </c>
      <c r="B280" s="4" t="s">
        <v>11</v>
      </c>
      <c r="C280" s="4" t="s">
        <v>11</v>
      </c>
      <c r="D280" s="4">
        <v>3748.6</v>
      </c>
      <c r="E280" s="4">
        <v>3225.9</v>
      </c>
    </row>
    <row r="281" spans="1:5" x14ac:dyDescent="0.25">
      <c r="A281">
        <v>280</v>
      </c>
      <c r="B281" s="4" t="s">
        <v>11</v>
      </c>
      <c r="C281" s="4" t="s">
        <v>10</v>
      </c>
      <c r="D281" s="4">
        <v>4471.62</v>
      </c>
      <c r="E281" s="4">
        <v>1187.55</v>
      </c>
    </row>
    <row r="282" spans="1:5" x14ac:dyDescent="0.25">
      <c r="A282">
        <v>281</v>
      </c>
      <c r="B282" s="4" t="s">
        <v>10</v>
      </c>
      <c r="C282" s="4" t="s">
        <v>11</v>
      </c>
      <c r="D282" s="4">
        <v>4074.1</v>
      </c>
      <c r="E282" s="4">
        <v>3925.05</v>
      </c>
    </row>
    <row r="283" spans="1:5" x14ac:dyDescent="0.25">
      <c r="A283">
        <v>282</v>
      </c>
      <c r="B283" s="4" t="s">
        <v>11</v>
      </c>
      <c r="C283" s="4" t="s">
        <v>11</v>
      </c>
      <c r="D283" s="4">
        <v>3977.23</v>
      </c>
      <c r="E283" s="4">
        <v>3463.05</v>
      </c>
    </row>
    <row r="284" spans="1:5" x14ac:dyDescent="0.25">
      <c r="A284">
        <v>283</v>
      </c>
      <c r="B284" s="4" t="s">
        <v>11</v>
      </c>
      <c r="C284" s="4" t="s">
        <v>11</v>
      </c>
      <c r="D284" s="4">
        <v>4128.6000000000004</v>
      </c>
      <c r="E284" s="4">
        <v>3107.5499999999997</v>
      </c>
    </row>
    <row r="285" spans="1:5" x14ac:dyDescent="0.25">
      <c r="A285">
        <v>284</v>
      </c>
      <c r="B285" s="4" t="s">
        <v>11</v>
      </c>
      <c r="C285" s="4" t="s">
        <v>11</v>
      </c>
      <c r="D285" s="4">
        <v>5560.73</v>
      </c>
      <c r="E285" s="4">
        <v>2184.15</v>
      </c>
    </row>
    <row r="286" spans="1:5" x14ac:dyDescent="0.25">
      <c r="A286">
        <v>285</v>
      </c>
      <c r="B286" s="4" t="s">
        <v>11</v>
      </c>
      <c r="C286" s="4" t="s">
        <v>11</v>
      </c>
      <c r="D286" s="4">
        <v>7664.03</v>
      </c>
      <c r="E286" s="4">
        <v>1188.45</v>
      </c>
    </row>
    <row r="287" spans="1:5" x14ac:dyDescent="0.25">
      <c r="A287">
        <v>286</v>
      </c>
      <c r="B287" s="4" t="s">
        <v>11</v>
      </c>
      <c r="C287" s="4" t="s">
        <v>11</v>
      </c>
      <c r="D287" s="4">
        <v>4935.18</v>
      </c>
      <c r="E287" s="4">
        <v>4467.45</v>
      </c>
    </row>
    <row r="288" spans="1:5" x14ac:dyDescent="0.25">
      <c r="A288">
        <v>287</v>
      </c>
      <c r="B288" s="4" t="s">
        <v>11</v>
      </c>
      <c r="C288" s="4" t="s">
        <v>11</v>
      </c>
      <c r="D288" s="4">
        <v>5898.74</v>
      </c>
      <c r="E288" s="4">
        <v>2548.5</v>
      </c>
    </row>
    <row r="289" spans="1:5" x14ac:dyDescent="0.25">
      <c r="A289">
        <v>288</v>
      </c>
      <c r="B289" s="4" t="s">
        <v>11</v>
      </c>
      <c r="C289" s="4" t="s">
        <v>11</v>
      </c>
      <c r="D289" s="4">
        <v>4542.83</v>
      </c>
      <c r="E289" s="4">
        <v>2101.0499999999997</v>
      </c>
    </row>
    <row r="290" spans="1:5" x14ac:dyDescent="0.25">
      <c r="A290">
        <v>289</v>
      </c>
      <c r="B290" s="4" t="s">
        <v>11</v>
      </c>
      <c r="C290" s="4" t="s">
        <v>11</v>
      </c>
      <c r="D290" s="4">
        <v>9649.01</v>
      </c>
      <c r="E290" s="4">
        <v>2078.4</v>
      </c>
    </row>
    <row r="291" spans="1:5" x14ac:dyDescent="0.25">
      <c r="A291">
        <v>290</v>
      </c>
      <c r="B291" s="4" t="s">
        <v>11</v>
      </c>
      <c r="C291" s="4" t="s">
        <v>11</v>
      </c>
      <c r="D291" s="4">
        <v>5792.28</v>
      </c>
      <c r="E291" s="4">
        <v>2610.9</v>
      </c>
    </row>
    <row r="292" spans="1:5" x14ac:dyDescent="0.25">
      <c r="A292">
        <v>291</v>
      </c>
      <c r="B292" s="4" t="s">
        <v>11</v>
      </c>
      <c r="C292" s="4" t="s">
        <v>10</v>
      </c>
      <c r="D292" s="4">
        <v>3923.94</v>
      </c>
      <c r="E292" s="4">
        <v>775.94999999999993</v>
      </c>
    </row>
    <row r="293" spans="1:5" x14ac:dyDescent="0.25">
      <c r="A293">
        <v>292</v>
      </c>
      <c r="B293" s="4" t="s">
        <v>11</v>
      </c>
      <c r="C293" s="4" t="s">
        <v>11</v>
      </c>
      <c r="D293" s="4">
        <v>5840.94</v>
      </c>
      <c r="E293" s="4">
        <v>5033.25</v>
      </c>
    </row>
    <row r="294" spans="1:5" x14ac:dyDescent="0.25">
      <c r="A294">
        <v>293</v>
      </c>
      <c r="B294" s="4" t="s">
        <v>10</v>
      </c>
      <c r="C294" s="4" t="s">
        <v>10</v>
      </c>
      <c r="D294" s="4">
        <v>5182.37</v>
      </c>
      <c r="E294" s="4">
        <v>815.7</v>
      </c>
    </row>
    <row r="295" spans="1:5" x14ac:dyDescent="0.25">
      <c r="A295">
        <v>294</v>
      </c>
      <c r="B295" s="4" t="s">
        <v>10</v>
      </c>
      <c r="C295" s="4" t="s">
        <v>10</v>
      </c>
      <c r="D295" s="4">
        <v>4843.9399999999996</v>
      </c>
      <c r="E295" s="4">
        <v>2250.6</v>
      </c>
    </row>
    <row r="296" spans="1:5" x14ac:dyDescent="0.25">
      <c r="A296">
        <v>295</v>
      </c>
      <c r="B296" s="4" t="s">
        <v>11</v>
      </c>
      <c r="C296" s="4" t="s">
        <v>11</v>
      </c>
      <c r="D296" s="4">
        <v>4491.6499999999996</v>
      </c>
      <c r="E296" s="4">
        <v>1277.8499999999999</v>
      </c>
    </row>
    <row r="297" spans="1:5" x14ac:dyDescent="0.25">
      <c r="A297">
        <v>296</v>
      </c>
      <c r="B297" s="4" t="s">
        <v>10</v>
      </c>
      <c r="C297" s="4" t="s">
        <v>11</v>
      </c>
      <c r="D297" s="4">
        <v>3819.52</v>
      </c>
      <c r="E297" s="4">
        <v>2303.7000000000003</v>
      </c>
    </row>
    <row r="298" spans="1:5" x14ac:dyDescent="0.25">
      <c r="A298">
        <v>297</v>
      </c>
      <c r="B298" s="4" t="s">
        <v>11</v>
      </c>
      <c r="C298" s="4" t="s">
        <v>11</v>
      </c>
      <c r="D298" s="4">
        <v>4312.95</v>
      </c>
      <c r="E298" s="4">
        <v>1598.4</v>
      </c>
    </row>
    <row r="299" spans="1:5" x14ac:dyDescent="0.25">
      <c r="A299">
        <v>298</v>
      </c>
      <c r="B299" s="4" t="s">
        <v>11</v>
      </c>
      <c r="C299" s="4" t="s">
        <v>11</v>
      </c>
      <c r="D299" s="4">
        <v>4523.3100000000004</v>
      </c>
      <c r="E299" s="4">
        <v>3512.25</v>
      </c>
    </row>
    <row r="300" spans="1:5" x14ac:dyDescent="0.25">
      <c r="A300">
        <v>299</v>
      </c>
      <c r="B300" s="4" t="s">
        <v>10</v>
      </c>
      <c r="C300" s="4" t="s">
        <v>11</v>
      </c>
      <c r="D300" s="4">
        <v>4191.1400000000003</v>
      </c>
      <c r="E300" s="4">
        <v>2290.0499999999997</v>
      </c>
    </row>
    <row r="301" spans="1:5" x14ac:dyDescent="0.25">
      <c r="A301">
        <v>300</v>
      </c>
      <c r="B301" s="4" t="s">
        <v>11</v>
      </c>
      <c r="C301" s="4" t="s">
        <v>11</v>
      </c>
      <c r="D301" s="4">
        <v>4809.1000000000004</v>
      </c>
      <c r="E301" s="4">
        <v>4055.4</v>
      </c>
    </row>
    <row r="302" spans="1:5" x14ac:dyDescent="0.25">
      <c r="A302">
        <v>301</v>
      </c>
      <c r="B302" s="4" t="s">
        <v>11</v>
      </c>
      <c r="C302" s="4" t="s">
        <v>11</v>
      </c>
      <c r="D302" s="4">
        <v>2806.92</v>
      </c>
      <c r="E302" s="4">
        <v>1812.6000000000001</v>
      </c>
    </row>
    <row r="303" spans="1:5" x14ac:dyDescent="0.25">
      <c r="A303">
        <v>302</v>
      </c>
      <c r="B303" s="4" t="s">
        <v>11</v>
      </c>
      <c r="C303" s="4" t="s">
        <v>11</v>
      </c>
      <c r="D303" s="4">
        <v>6583.72</v>
      </c>
      <c r="E303" s="4">
        <v>4562.7</v>
      </c>
    </row>
    <row r="304" spans="1:5" x14ac:dyDescent="0.25">
      <c r="A304">
        <v>303</v>
      </c>
      <c r="B304" s="4" t="s">
        <v>11</v>
      </c>
      <c r="C304" s="4" t="s">
        <v>10</v>
      </c>
      <c r="D304" s="4">
        <v>3106.38</v>
      </c>
      <c r="E304" s="4">
        <v>2715.3</v>
      </c>
    </row>
    <row r="305" spans="1:5" x14ac:dyDescent="0.25">
      <c r="A305">
        <v>304</v>
      </c>
      <c r="B305" s="4" t="s">
        <v>11</v>
      </c>
      <c r="C305" s="4" t="s">
        <v>10</v>
      </c>
      <c r="D305" s="4">
        <v>2963.01</v>
      </c>
      <c r="E305" s="4">
        <v>1650</v>
      </c>
    </row>
    <row r="306" spans="1:5" x14ac:dyDescent="0.25">
      <c r="A306">
        <v>305</v>
      </c>
      <c r="B306" s="4" t="s">
        <v>11</v>
      </c>
      <c r="C306" s="4" t="s">
        <v>10</v>
      </c>
      <c r="D306" s="4">
        <v>2668.2</v>
      </c>
      <c r="E306" s="4">
        <v>1126.05</v>
      </c>
    </row>
    <row r="307" spans="1:5" x14ac:dyDescent="0.25">
      <c r="A307">
        <v>306</v>
      </c>
      <c r="B307" s="4" t="s">
        <v>11</v>
      </c>
      <c r="C307" s="4" t="s">
        <v>10</v>
      </c>
      <c r="D307" s="4">
        <v>2297.85</v>
      </c>
      <c r="E307" s="4">
        <v>2281.5</v>
      </c>
    </row>
    <row r="308" spans="1:5" x14ac:dyDescent="0.25">
      <c r="A308">
        <v>307</v>
      </c>
      <c r="B308" s="4" t="s">
        <v>11</v>
      </c>
      <c r="C308" s="4" t="s">
        <v>11</v>
      </c>
      <c r="D308" s="4">
        <v>2946.23</v>
      </c>
      <c r="E308" s="4">
        <v>2464.5</v>
      </c>
    </row>
    <row r="309" spans="1:5" x14ac:dyDescent="0.25">
      <c r="A309">
        <v>308</v>
      </c>
      <c r="B309" s="4" t="s">
        <v>11</v>
      </c>
      <c r="C309" s="4" t="s">
        <v>10</v>
      </c>
      <c r="D309" s="4">
        <v>2572.42</v>
      </c>
      <c r="E309" s="4">
        <v>2093.4</v>
      </c>
    </row>
    <row r="310" spans="1:5" x14ac:dyDescent="0.25">
      <c r="A310">
        <v>309</v>
      </c>
      <c r="B310" s="4" t="s">
        <v>11</v>
      </c>
      <c r="C310" s="4" t="s">
        <v>10</v>
      </c>
      <c r="D310" s="4">
        <v>5291.99</v>
      </c>
      <c r="E310" s="4">
        <v>961.65</v>
      </c>
    </row>
    <row r="311" spans="1:5" x14ac:dyDescent="0.25">
      <c r="A311">
        <v>310</v>
      </c>
      <c r="B311" s="4" t="s">
        <v>10</v>
      </c>
      <c r="C311" s="4" t="s">
        <v>10</v>
      </c>
      <c r="D311" s="4">
        <v>3935.01</v>
      </c>
      <c r="E311" s="4">
        <v>861</v>
      </c>
    </row>
    <row r="312" spans="1:5" x14ac:dyDescent="0.25">
      <c r="A312">
        <v>311</v>
      </c>
      <c r="B312" s="4" t="s">
        <v>10</v>
      </c>
      <c r="C312" s="4" t="s">
        <v>11</v>
      </c>
      <c r="D312" s="4">
        <v>2982.62</v>
      </c>
      <c r="E312" s="4">
        <v>1872.3</v>
      </c>
    </row>
    <row r="313" spans="1:5" x14ac:dyDescent="0.25">
      <c r="A313">
        <v>312</v>
      </c>
      <c r="B313" s="4" t="s">
        <v>11</v>
      </c>
      <c r="C313" s="4" t="s">
        <v>10</v>
      </c>
      <c r="D313" s="4">
        <v>3262.15</v>
      </c>
      <c r="E313" s="4">
        <v>1925.4</v>
      </c>
    </row>
    <row r="314" spans="1:5" x14ac:dyDescent="0.25">
      <c r="A314">
        <v>313</v>
      </c>
      <c r="B314" s="4" t="s">
        <v>10</v>
      </c>
      <c r="C314" s="4" t="s">
        <v>10</v>
      </c>
      <c r="D314" s="4">
        <v>10000</v>
      </c>
      <c r="E314" s="4">
        <v>717.75</v>
      </c>
    </row>
    <row r="315" spans="1:5" x14ac:dyDescent="0.25">
      <c r="A315">
        <v>314</v>
      </c>
      <c r="B315" s="4" t="s">
        <v>11</v>
      </c>
      <c r="C315" s="4" t="s">
        <v>10</v>
      </c>
      <c r="D315" s="4">
        <v>4730.96</v>
      </c>
      <c r="E315" s="4">
        <v>987.6</v>
      </c>
    </row>
    <row r="316" spans="1:5" x14ac:dyDescent="0.25">
      <c r="A316">
        <v>315</v>
      </c>
      <c r="B316" s="4" t="s">
        <v>11</v>
      </c>
      <c r="C316" s="4" t="s">
        <v>10</v>
      </c>
      <c r="D316" s="4">
        <v>4116.08</v>
      </c>
      <c r="E316" s="4">
        <v>2874.9</v>
      </c>
    </row>
    <row r="317" spans="1:5" x14ac:dyDescent="0.25">
      <c r="A317">
        <v>316</v>
      </c>
      <c r="B317" s="4" t="s">
        <v>11</v>
      </c>
      <c r="C317" s="4" t="s">
        <v>10</v>
      </c>
      <c r="D317" s="4">
        <v>3570.78</v>
      </c>
      <c r="E317" s="4">
        <v>1105.3499999999999</v>
      </c>
    </row>
    <row r="318" spans="1:5" x14ac:dyDescent="0.25">
      <c r="A318">
        <v>317</v>
      </c>
      <c r="B318" s="4" t="s">
        <v>11</v>
      </c>
      <c r="C318" s="4" t="s">
        <v>11</v>
      </c>
      <c r="D318" s="4">
        <v>2487.89</v>
      </c>
      <c r="E318" s="4">
        <v>1715.25</v>
      </c>
    </row>
    <row r="319" spans="1:5" x14ac:dyDescent="0.25">
      <c r="A319">
        <v>318</v>
      </c>
      <c r="B319" s="4" t="s">
        <v>11</v>
      </c>
      <c r="C319" s="4" t="s">
        <v>11</v>
      </c>
      <c r="D319" s="4">
        <v>4148.5600000000004</v>
      </c>
      <c r="E319" s="4">
        <v>3902.4000000000005</v>
      </c>
    </row>
    <row r="320" spans="1:5" x14ac:dyDescent="0.25">
      <c r="A320">
        <v>319</v>
      </c>
      <c r="B320" s="4" t="s">
        <v>11</v>
      </c>
      <c r="C320" s="4" t="s">
        <v>11</v>
      </c>
      <c r="D320" s="4">
        <v>5110.54</v>
      </c>
      <c r="E320" s="4">
        <v>1377.45</v>
      </c>
    </row>
    <row r="321" spans="1:5" x14ac:dyDescent="0.25">
      <c r="A321">
        <v>320</v>
      </c>
      <c r="B321" s="4" t="s">
        <v>10</v>
      </c>
      <c r="C321" s="4" t="s">
        <v>10</v>
      </c>
      <c r="D321" s="4">
        <v>2482.7600000000002</v>
      </c>
      <c r="E321" s="4">
        <v>2309.25</v>
      </c>
    </row>
    <row r="322" spans="1:5" x14ac:dyDescent="0.25">
      <c r="A322">
        <v>321</v>
      </c>
      <c r="B322" s="4" t="s">
        <v>10</v>
      </c>
      <c r="C322" s="4" t="s">
        <v>11</v>
      </c>
      <c r="D322" s="4">
        <v>2638.87</v>
      </c>
      <c r="E322" s="4">
        <v>3926.1000000000004</v>
      </c>
    </row>
    <row r="323" spans="1:5" x14ac:dyDescent="0.25">
      <c r="A323">
        <v>322</v>
      </c>
      <c r="B323" s="4" t="s">
        <v>11</v>
      </c>
      <c r="C323" s="4" t="s">
        <v>11</v>
      </c>
      <c r="D323" s="4">
        <v>3152</v>
      </c>
      <c r="E323" s="4">
        <v>2169</v>
      </c>
    </row>
    <row r="324" spans="1:5" x14ac:dyDescent="0.25">
      <c r="A324">
        <v>323</v>
      </c>
      <c r="B324" s="4" t="s">
        <v>11</v>
      </c>
      <c r="C324" s="4" t="s">
        <v>11</v>
      </c>
      <c r="D324" s="4">
        <v>4641.26</v>
      </c>
      <c r="E324" s="4">
        <v>4458</v>
      </c>
    </row>
    <row r="325" spans="1:5" x14ac:dyDescent="0.25">
      <c r="A325">
        <v>324</v>
      </c>
      <c r="B325" s="4" t="s">
        <v>10</v>
      </c>
      <c r="C325" s="4" t="s">
        <v>11</v>
      </c>
      <c r="D325" s="4">
        <v>5791.78</v>
      </c>
      <c r="E325" s="4">
        <v>1284.3000000000002</v>
      </c>
    </row>
    <row r="326" spans="1:5" x14ac:dyDescent="0.25">
      <c r="A326">
        <v>325</v>
      </c>
      <c r="B326" s="4" t="s">
        <v>11</v>
      </c>
      <c r="C326" s="4" t="s">
        <v>10</v>
      </c>
      <c r="D326" s="4">
        <v>5918.84</v>
      </c>
      <c r="E326" s="4">
        <v>751.5</v>
      </c>
    </row>
    <row r="327" spans="1:5" x14ac:dyDescent="0.25">
      <c r="A327">
        <v>326</v>
      </c>
      <c r="B327" s="4" t="s">
        <v>10</v>
      </c>
      <c r="C327" s="4" t="s">
        <v>10</v>
      </c>
      <c r="D327" s="4">
        <v>4860.3599999999997</v>
      </c>
      <c r="E327" s="4">
        <v>1086.3</v>
      </c>
    </row>
    <row r="328" spans="1:5" x14ac:dyDescent="0.25">
      <c r="A328">
        <v>327</v>
      </c>
      <c r="B328" s="4" t="s">
        <v>11</v>
      </c>
      <c r="C328" s="4" t="s">
        <v>10</v>
      </c>
      <c r="D328" s="4">
        <v>2605.0500000000002</v>
      </c>
      <c r="E328" s="4">
        <v>3030</v>
      </c>
    </row>
    <row r="329" spans="1:5" x14ac:dyDescent="0.25">
      <c r="A329">
        <v>328</v>
      </c>
      <c r="B329" s="4" t="s">
        <v>11</v>
      </c>
      <c r="C329" s="4" t="s">
        <v>11</v>
      </c>
      <c r="D329" s="4">
        <v>6460.84</v>
      </c>
      <c r="E329" s="4">
        <v>3852.9</v>
      </c>
    </row>
    <row r="330" spans="1:5" x14ac:dyDescent="0.25">
      <c r="A330">
        <v>329</v>
      </c>
      <c r="B330" s="4" t="s">
        <v>11</v>
      </c>
      <c r="C330" s="4" t="s">
        <v>11</v>
      </c>
      <c r="D330" s="4">
        <v>4157.6099999999997</v>
      </c>
      <c r="E330" s="4">
        <v>2337.15</v>
      </c>
    </row>
    <row r="331" spans="1:5" x14ac:dyDescent="0.25">
      <c r="A331">
        <v>330</v>
      </c>
      <c r="B331" s="4" t="s">
        <v>11</v>
      </c>
      <c r="C331" s="4" t="s">
        <v>10</v>
      </c>
      <c r="D331" s="4">
        <v>5089.75</v>
      </c>
      <c r="E331" s="4">
        <v>996.89999999999986</v>
      </c>
    </row>
    <row r="332" spans="1:5" x14ac:dyDescent="0.25">
      <c r="A332">
        <v>331</v>
      </c>
      <c r="B332" s="4" t="s">
        <v>11</v>
      </c>
      <c r="C332" s="4" t="s">
        <v>11</v>
      </c>
      <c r="D332" s="4">
        <v>3474.23</v>
      </c>
      <c r="E332" s="4">
        <v>2320.9499999999998</v>
      </c>
    </row>
    <row r="333" spans="1:5" x14ac:dyDescent="0.25">
      <c r="A333">
        <v>332</v>
      </c>
      <c r="B333" s="4" t="s">
        <v>11</v>
      </c>
      <c r="C333" s="4" t="s">
        <v>10</v>
      </c>
      <c r="D333" s="4">
        <v>4959.21</v>
      </c>
      <c r="E333" s="4">
        <v>1505.4</v>
      </c>
    </row>
    <row r="334" spans="1:5" x14ac:dyDescent="0.25">
      <c r="A334">
        <v>333</v>
      </c>
      <c r="B334" s="4" t="s">
        <v>10</v>
      </c>
      <c r="C334" s="4" t="s">
        <v>11</v>
      </c>
      <c r="D334" s="4">
        <v>5433.17</v>
      </c>
      <c r="E334" s="4">
        <v>1915.05</v>
      </c>
    </row>
    <row r="335" spans="1:5" x14ac:dyDescent="0.25">
      <c r="A335">
        <v>334</v>
      </c>
      <c r="B335" s="4" t="s">
        <v>11</v>
      </c>
      <c r="C335" s="4" t="s">
        <v>11</v>
      </c>
      <c r="D335" s="4">
        <v>2548.46</v>
      </c>
      <c r="E335" s="4">
        <v>4534.95</v>
      </c>
    </row>
    <row r="336" spans="1:5" x14ac:dyDescent="0.25">
      <c r="A336">
        <v>335</v>
      </c>
      <c r="B336" s="4" t="s">
        <v>11</v>
      </c>
      <c r="C336" s="4" t="s">
        <v>11</v>
      </c>
      <c r="D336" s="4">
        <v>6589.49</v>
      </c>
      <c r="E336" s="4">
        <v>1947.0000000000002</v>
      </c>
    </row>
    <row r="337" spans="1:5" x14ac:dyDescent="0.25">
      <c r="A337">
        <v>336</v>
      </c>
      <c r="B337" s="4" t="s">
        <v>11</v>
      </c>
      <c r="C337" s="4" t="s">
        <v>11</v>
      </c>
      <c r="D337" s="4">
        <v>6334.03</v>
      </c>
      <c r="E337" s="4">
        <v>2500.0499999999997</v>
      </c>
    </row>
    <row r="338" spans="1:5" x14ac:dyDescent="0.25">
      <c r="A338">
        <v>337</v>
      </c>
      <c r="B338" s="4" t="s">
        <v>11</v>
      </c>
      <c r="C338" s="4" t="s">
        <v>11</v>
      </c>
      <c r="D338" s="4">
        <v>2626.9</v>
      </c>
      <c r="E338" s="4">
        <v>1758.45</v>
      </c>
    </row>
    <row r="339" spans="1:5" x14ac:dyDescent="0.25">
      <c r="A339">
        <v>338</v>
      </c>
      <c r="B339" s="4" t="s">
        <v>11</v>
      </c>
      <c r="C339" s="4" t="s">
        <v>11</v>
      </c>
      <c r="D339" s="4">
        <v>7702.88</v>
      </c>
      <c r="E339" s="4">
        <v>3882.7500000000005</v>
      </c>
    </row>
    <row r="340" spans="1:5" x14ac:dyDescent="0.25">
      <c r="A340">
        <v>339</v>
      </c>
      <c r="B340" s="4" t="s">
        <v>11</v>
      </c>
      <c r="C340" s="4" t="s">
        <v>10</v>
      </c>
      <c r="D340" s="4">
        <v>2659.94</v>
      </c>
      <c r="E340" s="4">
        <v>2499.9</v>
      </c>
    </row>
    <row r="341" spans="1:5" x14ac:dyDescent="0.25">
      <c r="A341">
        <v>340</v>
      </c>
      <c r="B341" s="4" t="s">
        <v>10</v>
      </c>
      <c r="C341" s="4" t="s">
        <v>11</v>
      </c>
      <c r="D341" s="4">
        <v>5433.17</v>
      </c>
      <c r="E341" s="4">
        <v>1915.05</v>
      </c>
    </row>
    <row r="342" spans="1:5" x14ac:dyDescent="0.25">
      <c r="A342">
        <v>341</v>
      </c>
      <c r="B342" s="4" t="s">
        <v>10</v>
      </c>
      <c r="C342" s="4" t="s">
        <v>11</v>
      </c>
      <c r="D342" s="4">
        <v>2796.6</v>
      </c>
      <c r="E342" s="4">
        <v>2195.4</v>
      </c>
    </row>
    <row r="343" spans="1:5" x14ac:dyDescent="0.25">
      <c r="A343">
        <v>342</v>
      </c>
      <c r="B343" s="4" t="s">
        <v>10</v>
      </c>
      <c r="C343" s="4" t="s">
        <v>11</v>
      </c>
      <c r="D343" s="4">
        <v>2883.65</v>
      </c>
      <c r="E343" s="4">
        <v>1711.9499999999998</v>
      </c>
    </row>
    <row r="344" spans="1:5" x14ac:dyDescent="0.25">
      <c r="A344">
        <v>343</v>
      </c>
      <c r="B344" s="4" t="s">
        <v>11</v>
      </c>
      <c r="C344" s="4" t="s">
        <v>11</v>
      </c>
      <c r="D344" s="4">
        <v>4351.3100000000004</v>
      </c>
      <c r="E344" s="4">
        <v>1169.7</v>
      </c>
    </row>
    <row r="345" spans="1:5" x14ac:dyDescent="0.25">
      <c r="A345">
        <v>344</v>
      </c>
      <c r="B345" s="4" t="s">
        <v>11</v>
      </c>
      <c r="C345" s="4" t="s">
        <v>11</v>
      </c>
      <c r="D345" s="4">
        <v>6205.97</v>
      </c>
      <c r="E345" s="4">
        <v>3667.5</v>
      </c>
    </row>
    <row r="346" spans="1:5" x14ac:dyDescent="0.25">
      <c r="A346">
        <v>345</v>
      </c>
      <c r="B346" s="4" t="s">
        <v>10</v>
      </c>
      <c r="C346" s="4" t="s">
        <v>11</v>
      </c>
      <c r="D346" s="4">
        <v>2386.85</v>
      </c>
      <c r="E346" s="4">
        <v>1859.55</v>
      </c>
    </row>
    <row r="347" spans="1:5" x14ac:dyDescent="0.25">
      <c r="A347">
        <v>346</v>
      </c>
      <c r="B347" s="4" t="s">
        <v>11</v>
      </c>
      <c r="C347" s="4" t="s">
        <v>11</v>
      </c>
      <c r="D347" s="4">
        <v>2421.04</v>
      </c>
      <c r="E347" s="4">
        <v>2321.1000000000004</v>
      </c>
    </row>
    <row r="348" spans="1:5" x14ac:dyDescent="0.25">
      <c r="A348">
        <v>347</v>
      </c>
      <c r="B348" s="4" t="s">
        <v>11</v>
      </c>
      <c r="C348" s="4" t="s">
        <v>11</v>
      </c>
      <c r="D348" s="4">
        <v>6166.1</v>
      </c>
      <c r="E348" s="4">
        <v>3691.5</v>
      </c>
    </row>
    <row r="349" spans="1:5" x14ac:dyDescent="0.25">
      <c r="A349">
        <v>348</v>
      </c>
      <c r="B349" s="4" t="s">
        <v>10</v>
      </c>
      <c r="C349" s="4" t="s">
        <v>11</v>
      </c>
      <c r="D349" s="4">
        <v>3784.94</v>
      </c>
      <c r="E349" s="4">
        <v>3082.6499999999996</v>
      </c>
    </row>
    <row r="350" spans="1:5" x14ac:dyDescent="0.25">
      <c r="A350">
        <v>349</v>
      </c>
      <c r="B350" s="4" t="s">
        <v>11</v>
      </c>
      <c r="C350" s="4" t="s">
        <v>11</v>
      </c>
      <c r="D350" s="4">
        <v>9174.83</v>
      </c>
      <c r="E350" s="4">
        <v>2794.2</v>
      </c>
    </row>
    <row r="351" spans="1:5" x14ac:dyDescent="0.25">
      <c r="A351">
        <v>350</v>
      </c>
      <c r="B351" s="4" t="s">
        <v>11</v>
      </c>
      <c r="C351" s="4" t="s">
        <v>10</v>
      </c>
      <c r="D351" s="4">
        <v>9819.56</v>
      </c>
      <c r="E351" s="4">
        <v>787.95</v>
      </c>
    </row>
    <row r="352" spans="1:5" x14ac:dyDescent="0.25">
      <c r="A352">
        <v>351</v>
      </c>
      <c r="B352" s="4" t="s">
        <v>11</v>
      </c>
      <c r="C352" s="4" t="s">
        <v>11</v>
      </c>
      <c r="D352" s="4">
        <v>4033.32</v>
      </c>
      <c r="E352" s="4">
        <v>3679.2</v>
      </c>
    </row>
    <row r="353" spans="1:5" x14ac:dyDescent="0.25">
      <c r="A353">
        <v>352</v>
      </c>
      <c r="B353" s="4" t="s">
        <v>11</v>
      </c>
      <c r="C353" s="4" t="s">
        <v>11</v>
      </c>
      <c r="D353" s="4">
        <v>1888.3</v>
      </c>
      <c r="E353" s="4">
        <v>4372.6499999999996</v>
      </c>
    </row>
    <row r="354" spans="1:5" x14ac:dyDescent="0.25">
      <c r="A354">
        <v>353</v>
      </c>
      <c r="B354" s="4" t="s">
        <v>11</v>
      </c>
      <c r="C354" s="4" t="s">
        <v>11</v>
      </c>
      <c r="D354" s="4">
        <v>7520.09</v>
      </c>
      <c r="E354" s="4">
        <v>1748.55</v>
      </c>
    </row>
    <row r="355" spans="1:5" x14ac:dyDescent="0.25">
      <c r="A355">
        <v>354</v>
      </c>
      <c r="B355" s="4" t="s">
        <v>11</v>
      </c>
      <c r="C355" s="4" t="s">
        <v>11</v>
      </c>
      <c r="D355" s="4">
        <v>2617.87</v>
      </c>
      <c r="E355" s="4">
        <v>3359.8500000000004</v>
      </c>
    </row>
    <row r="356" spans="1:5" x14ac:dyDescent="0.25">
      <c r="A356">
        <v>355</v>
      </c>
      <c r="B356" s="4" t="s">
        <v>11</v>
      </c>
      <c r="C356" s="4" t="s">
        <v>11</v>
      </c>
      <c r="D356" s="4">
        <v>2946.23</v>
      </c>
      <c r="E356" s="4">
        <v>2464.5</v>
      </c>
    </row>
    <row r="357" spans="1:5" x14ac:dyDescent="0.25">
      <c r="A357">
        <v>356</v>
      </c>
      <c r="B357" s="4" t="s">
        <v>10</v>
      </c>
      <c r="C357" s="4" t="s">
        <v>11</v>
      </c>
      <c r="D357" s="4">
        <v>4580.05</v>
      </c>
      <c r="E357" s="4">
        <v>1994.1</v>
      </c>
    </row>
    <row r="358" spans="1:5" x14ac:dyDescent="0.25">
      <c r="A358">
        <v>357</v>
      </c>
      <c r="B358" s="4" t="s">
        <v>11</v>
      </c>
      <c r="C358" s="4" t="s">
        <v>10</v>
      </c>
      <c r="D358" s="4">
        <v>5588.72</v>
      </c>
      <c r="E358" s="4">
        <v>1512</v>
      </c>
    </row>
    <row r="359" spans="1:5" x14ac:dyDescent="0.25">
      <c r="A359">
        <v>358</v>
      </c>
      <c r="B359" s="4" t="s">
        <v>11</v>
      </c>
      <c r="C359" s="4" t="s">
        <v>11</v>
      </c>
      <c r="D359" s="4">
        <v>2587.89</v>
      </c>
      <c r="E359" s="4">
        <v>1784.25</v>
      </c>
    </row>
    <row r="360" spans="1:5" x14ac:dyDescent="0.25">
      <c r="A360">
        <v>359</v>
      </c>
      <c r="B360" s="4" t="s">
        <v>11</v>
      </c>
      <c r="C360" s="4" t="s">
        <v>11</v>
      </c>
      <c r="D360" s="4">
        <v>5976.02</v>
      </c>
      <c r="E360" s="4">
        <v>4080.9</v>
      </c>
    </row>
    <row r="361" spans="1:5" x14ac:dyDescent="0.25">
      <c r="A361">
        <v>360</v>
      </c>
      <c r="B361" s="4" t="s">
        <v>11</v>
      </c>
      <c r="C361" s="4" t="s">
        <v>11</v>
      </c>
      <c r="D361" s="4">
        <v>2712.37</v>
      </c>
      <c r="E361" s="4">
        <v>1599</v>
      </c>
    </row>
    <row r="362" spans="1:5" x14ac:dyDescent="0.25">
      <c r="A362">
        <v>361</v>
      </c>
      <c r="B362" s="4" t="s">
        <v>10</v>
      </c>
      <c r="C362" s="4" t="s">
        <v>11</v>
      </c>
      <c r="D362" s="4">
        <v>2828.16</v>
      </c>
      <c r="E362" s="4">
        <v>1847.7</v>
      </c>
    </row>
    <row r="363" spans="1:5" x14ac:dyDescent="0.25">
      <c r="A363">
        <v>362</v>
      </c>
      <c r="B363" s="4" t="s">
        <v>11</v>
      </c>
      <c r="C363" s="4" t="s">
        <v>11</v>
      </c>
      <c r="D363" s="4">
        <v>5505.79</v>
      </c>
      <c r="E363" s="4">
        <v>1653.75</v>
      </c>
    </row>
    <row r="364" spans="1:5" x14ac:dyDescent="0.25">
      <c r="A364">
        <v>363</v>
      </c>
      <c r="B364" s="4" t="s">
        <v>10</v>
      </c>
      <c r="C364" s="4" t="s">
        <v>11</v>
      </c>
      <c r="D364" s="4">
        <v>3247.31</v>
      </c>
      <c r="E364" s="4">
        <v>2050.2000000000003</v>
      </c>
    </row>
    <row r="365" spans="1:5" x14ac:dyDescent="0.25">
      <c r="A365">
        <v>364</v>
      </c>
      <c r="B365" s="4" t="s">
        <v>10</v>
      </c>
      <c r="C365" s="4" t="s">
        <v>11</v>
      </c>
      <c r="D365" s="4">
        <v>4633.51</v>
      </c>
      <c r="E365" s="4">
        <v>1878.75</v>
      </c>
    </row>
    <row r="366" spans="1:5" x14ac:dyDescent="0.25">
      <c r="A366">
        <v>365</v>
      </c>
      <c r="B366" s="4" t="s">
        <v>11</v>
      </c>
      <c r="C366" s="4" t="s">
        <v>11</v>
      </c>
      <c r="D366" s="4">
        <v>5430.52</v>
      </c>
      <c r="E366" s="4">
        <v>3140.25</v>
      </c>
    </row>
    <row r="367" spans="1:5" x14ac:dyDescent="0.25">
      <c r="A367">
        <v>366</v>
      </c>
      <c r="B367" s="4" t="s">
        <v>10</v>
      </c>
      <c r="C367" s="4" t="s">
        <v>11</v>
      </c>
      <c r="D367" s="4">
        <v>7577.56</v>
      </c>
      <c r="E367" s="4">
        <v>1991.5500000000002</v>
      </c>
    </row>
    <row r="368" spans="1:5" x14ac:dyDescent="0.25">
      <c r="A368">
        <v>367</v>
      </c>
      <c r="B368" s="4" t="s">
        <v>11</v>
      </c>
      <c r="C368" s="4" t="s">
        <v>10</v>
      </c>
      <c r="D368" s="4">
        <v>5130.29</v>
      </c>
      <c r="E368" s="4">
        <v>955.34999999999991</v>
      </c>
    </row>
    <row r="369" spans="1:5" x14ac:dyDescent="0.25">
      <c r="A369">
        <v>368</v>
      </c>
      <c r="B369" s="4" t="s">
        <v>11</v>
      </c>
      <c r="C369" s="4" t="s">
        <v>10</v>
      </c>
      <c r="D369" s="4">
        <v>3363.8</v>
      </c>
      <c r="E369" s="4">
        <v>1161.8999999999999</v>
      </c>
    </row>
    <row r="370" spans="1:5" x14ac:dyDescent="0.25">
      <c r="A370">
        <v>369</v>
      </c>
      <c r="B370" s="4" t="s">
        <v>11</v>
      </c>
      <c r="C370" s="4" t="s">
        <v>11</v>
      </c>
      <c r="D370" s="4">
        <v>2587.89</v>
      </c>
      <c r="E370" s="4">
        <v>1784.25</v>
      </c>
    </row>
    <row r="371" spans="1:5" x14ac:dyDescent="0.25">
      <c r="A371">
        <v>370</v>
      </c>
      <c r="B371" s="4" t="s">
        <v>11</v>
      </c>
      <c r="C371" s="4" t="s">
        <v>11</v>
      </c>
      <c r="D371" s="4">
        <v>4037.09</v>
      </c>
      <c r="E371" s="4">
        <v>1674.8999999999999</v>
      </c>
    </row>
    <row r="372" spans="1:5" x14ac:dyDescent="0.25">
      <c r="A372">
        <v>371</v>
      </c>
      <c r="B372" s="4" t="s">
        <v>11</v>
      </c>
      <c r="C372" s="4" t="s">
        <v>11</v>
      </c>
      <c r="D372" s="4">
        <v>2487.89</v>
      </c>
      <c r="E372" s="4">
        <v>1715.25</v>
      </c>
    </row>
    <row r="373" spans="1:5" x14ac:dyDescent="0.25">
      <c r="A373">
        <v>372</v>
      </c>
      <c r="B373" s="4" t="s">
        <v>10</v>
      </c>
      <c r="C373" s="4" t="s">
        <v>11</v>
      </c>
      <c r="D373" s="4">
        <v>3503.11</v>
      </c>
      <c r="E373" s="4">
        <v>1798.5</v>
      </c>
    </row>
    <row r="374" spans="1:5" x14ac:dyDescent="0.25">
      <c r="A374">
        <v>373</v>
      </c>
      <c r="B374" s="4" t="s">
        <v>10</v>
      </c>
      <c r="C374" s="4" t="s">
        <v>10</v>
      </c>
      <c r="D374" s="4">
        <v>9062.9500000000007</v>
      </c>
      <c r="E374" s="4">
        <v>870.45</v>
      </c>
    </row>
    <row r="375" spans="1:5" x14ac:dyDescent="0.25">
      <c r="A375">
        <v>374</v>
      </c>
      <c r="B375" s="4" t="s">
        <v>10</v>
      </c>
      <c r="C375" s="4" t="s">
        <v>10</v>
      </c>
      <c r="D375" s="4">
        <v>2044.21</v>
      </c>
      <c r="E375" s="4">
        <v>1856.1</v>
      </c>
    </row>
    <row r="376" spans="1:5" x14ac:dyDescent="0.25">
      <c r="A376">
        <v>375</v>
      </c>
      <c r="B376" s="4" t="s">
        <v>11</v>
      </c>
      <c r="C376" s="4" t="s">
        <v>10</v>
      </c>
      <c r="D376" s="4">
        <v>5328.85</v>
      </c>
      <c r="E376" s="4">
        <v>945.90000000000009</v>
      </c>
    </row>
    <row r="377" spans="1:5" x14ac:dyDescent="0.25">
      <c r="A377">
        <v>376</v>
      </c>
      <c r="B377" s="4" t="s">
        <v>10</v>
      </c>
      <c r="C377" s="4" t="s">
        <v>10</v>
      </c>
      <c r="D377" s="4">
        <v>5454.19</v>
      </c>
      <c r="E377" s="4">
        <v>637.04999999999995</v>
      </c>
    </row>
    <row r="378" spans="1:5" x14ac:dyDescent="0.25">
      <c r="A378">
        <v>377</v>
      </c>
      <c r="B378" s="4" t="s">
        <v>11</v>
      </c>
      <c r="C378" s="4" t="s">
        <v>11</v>
      </c>
      <c r="D378" s="4">
        <v>8714.0300000000007</v>
      </c>
      <c r="E378" s="4">
        <v>3760.95</v>
      </c>
    </row>
    <row r="379" spans="1:5" x14ac:dyDescent="0.25">
      <c r="A379">
        <v>378</v>
      </c>
      <c r="B379" s="4" t="s">
        <v>11</v>
      </c>
      <c r="C379" s="4" t="s">
        <v>10</v>
      </c>
      <c r="D379" s="4">
        <v>2668.2</v>
      </c>
      <c r="E379" s="4">
        <v>1126.05</v>
      </c>
    </row>
    <row r="380" spans="1:5" x14ac:dyDescent="0.25">
      <c r="A380">
        <v>379</v>
      </c>
      <c r="B380" s="4" t="s">
        <v>10</v>
      </c>
      <c r="C380" s="4" t="s">
        <v>10</v>
      </c>
      <c r="D380" s="4">
        <v>2482.7600000000002</v>
      </c>
      <c r="E380" s="4">
        <v>2309.25</v>
      </c>
    </row>
    <row r="381" spans="1:5" x14ac:dyDescent="0.25">
      <c r="A381">
        <v>380</v>
      </c>
      <c r="B381" s="4" t="s">
        <v>10</v>
      </c>
      <c r="C381" s="4" t="s">
        <v>11</v>
      </c>
      <c r="D381" s="4">
        <v>4568.58</v>
      </c>
      <c r="E381" s="4">
        <v>2113.5</v>
      </c>
    </row>
    <row r="382" spans="1:5" x14ac:dyDescent="0.25">
      <c r="A382">
        <v>381</v>
      </c>
      <c r="B382" s="4" t="s">
        <v>10</v>
      </c>
      <c r="C382" s="4" t="s">
        <v>11</v>
      </c>
      <c r="D382" s="4">
        <v>3472.17</v>
      </c>
      <c r="E382" s="4">
        <v>2902.5</v>
      </c>
    </row>
    <row r="383" spans="1:5" x14ac:dyDescent="0.25">
      <c r="A383">
        <v>382</v>
      </c>
      <c r="B383" s="4" t="s">
        <v>10</v>
      </c>
      <c r="C383" s="4" t="s">
        <v>11</v>
      </c>
      <c r="D383" s="4">
        <v>4133.3500000000004</v>
      </c>
      <c r="E383" s="4">
        <v>2377.5</v>
      </c>
    </row>
    <row r="384" spans="1:5" x14ac:dyDescent="0.25">
      <c r="A384">
        <v>383</v>
      </c>
      <c r="B384" s="4" t="s">
        <v>11</v>
      </c>
      <c r="C384" s="4" t="s">
        <v>11</v>
      </c>
      <c r="D384" s="4">
        <v>2892.9</v>
      </c>
      <c r="E384" s="4">
        <v>4096.8</v>
      </c>
    </row>
    <row r="385" spans="1:5" x14ac:dyDescent="0.25">
      <c r="A385">
        <v>384</v>
      </c>
      <c r="B385" s="4" t="s">
        <v>11</v>
      </c>
      <c r="C385" s="4" t="s">
        <v>11</v>
      </c>
      <c r="D385" s="4">
        <v>6372.59</v>
      </c>
      <c r="E385" s="4">
        <v>2142.4500000000003</v>
      </c>
    </row>
    <row r="386" spans="1:5" x14ac:dyDescent="0.25">
      <c r="A386">
        <v>385</v>
      </c>
      <c r="B386" s="4" t="s">
        <v>11</v>
      </c>
      <c r="C386" s="4" t="s">
        <v>11</v>
      </c>
      <c r="D386" s="4">
        <v>6438.27</v>
      </c>
      <c r="E386" s="4">
        <v>5242.95</v>
      </c>
    </row>
    <row r="387" spans="1:5" x14ac:dyDescent="0.25">
      <c r="A387">
        <v>386</v>
      </c>
      <c r="B387" s="4" t="s">
        <v>11</v>
      </c>
      <c r="C387" s="4" t="s">
        <v>11</v>
      </c>
      <c r="D387" s="4">
        <v>5605.06</v>
      </c>
      <c r="E387" s="4">
        <v>4805.55</v>
      </c>
    </row>
    <row r="388" spans="1:5" x14ac:dyDescent="0.25">
      <c r="A388">
        <v>387</v>
      </c>
      <c r="B388" s="4" t="s">
        <v>11</v>
      </c>
      <c r="C388" s="4" t="s">
        <v>11</v>
      </c>
      <c r="D388" s="4">
        <v>4409.42</v>
      </c>
      <c r="E388" s="4">
        <v>4194.1500000000005</v>
      </c>
    </row>
    <row r="389" spans="1:5" x14ac:dyDescent="0.25">
      <c r="A389">
        <v>388</v>
      </c>
      <c r="B389" s="4" t="s">
        <v>11</v>
      </c>
      <c r="C389" s="4" t="s">
        <v>11</v>
      </c>
      <c r="D389" s="4">
        <v>4988.83</v>
      </c>
      <c r="E389" s="4">
        <v>1059.3000000000002</v>
      </c>
    </row>
    <row r="390" spans="1:5" x14ac:dyDescent="0.25">
      <c r="A390">
        <v>389</v>
      </c>
      <c r="B390" s="4" t="s">
        <v>11</v>
      </c>
      <c r="C390" s="4" t="s">
        <v>10</v>
      </c>
      <c r="D390" s="4">
        <v>2710.38</v>
      </c>
      <c r="E390" s="4">
        <v>1724.25</v>
      </c>
    </row>
    <row r="391" spans="1:5" x14ac:dyDescent="0.25">
      <c r="A391">
        <v>390</v>
      </c>
      <c r="B391" s="4" t="s">
        <v>10</v>
      </c>
      <c r="C391" s="4" t="s">
        <v>10</v>
      </c>
      <c r="D391" s="4">
        <v>3699.42</v>
      </c>
      <c r="E391" s="4">
        <v>2122.1999999999998</v>
      </c>
    </row>
    <row r="392" spans="1:5" x14ac:dyDescent="0.25">
      <c r="A392">
        <v>391</v>
      </c>
      <c r="B392" s="4" t="s">
        <v>10</v>
      </c>
      <c r="C392" s="4" t="s">
        <v>10</v>
      </c>
      <c r="D392" s="4">
        <v>2553.17</v>
      </c>
      <c r="E392" s="4">
        <v>1599.75</v>
      </c>
    </row>
    <row r="393" spans="1:5" x14ac:dyDescent="0.25">
      <c r="A393">
        <v>392</v>
      </c>
      <c r="B393" s="4" t="s">
        <v>11</v>
      </c>
      <c r="C393" s="4" t="s">
        <v>11</v>
      </c>
      <c r="D393" s="4">
        <v>2421.04</v>
      </c>
      <c r="E393" s="4">
        <v>2321.1000000000004</v>
      </c>
    </row>
    <row r="394" spans="1:5" x14ac:dyDescent="0.25">
      <c r="A394">
        <v>393</v>
      </c>
      <c r="B394" s="4" t="s">
        <v>11</v>
      </c>
      <c r="C394" s="4" t="s">
        <v>10</v>
      </c>
      <c r="D394" s="4">
        <v>8437.67</v>
      </c>
      <c r="E394" s="4">
        <v>2543.7000000000003</v>
      </c>
    </row>
    <row r="395" spans="1:5" x14ac:dyDescent="0.25">
      <c r="A395">
        <v>394</v>
      </c>
      <c r="B395" s="4" t="s">
        <v>10</v>
      </c>
      <c r="C395" s="4" t="s">
        <v>11</v>
      </c>
      <c r="D395" s="4">
        <v>4581.03</v>
      </c>
      <c r="E395" s="4">
        <v>1391.7</v>
      </c>
    </row>
    <row r="396" spans="1:5" x14ac:dyDescent="0.25">
      <c r="A396">
        <v>395</v>
      </c>
      <c r="B396" s="4" t="s">
        <v>11</v>
      </c>
      <c r="C396" s="4" t="s">
        <v>11</v>
      </c>
      <c r="D396" s="4">
        <v>7046.98</v>
      </c>
      <c r="E396" s="4">
        <v>3607.2</v>
      </c>
    </row>
    <row r="397" spans="1:5" x14ac:dyDescent="0.25">
      <c r="A397">
        <v>396</v>
      </c>
      <c r="B397" s="4" t="s">
        <v>11</v>
      </c>
      <c r="C397" s="4" t="s">
        <v>10</v>
      </c>
      <c r="D397" s="4">
        <v>5826.14</v>
      </c>
      <c r="E397" s="4">
        <v>979.65000000000009</v>
      </c>
    </row>
    <row r="398" spans="1:5" x14ac:dyDescent="0.25">
      <c r="A398">
        <v>397</v>
      </c>
      <c r="B398" s="4" t="s">
        <v>10</v>
      </c>
      <c r="C398" s="4" t="s">
        <v>10</v>
      </c>
      <c r="D398" s="4">
        <v>2366.36</v>
      </c>
      <c r="E398" s="4">
        <v>1772.55</v>
      </c>
    </row>
    <row r="399" spans="1:5" x14ac:dyDescent="0.25">
      <c r="A399">
        <v>398</v>
      </c>
      <c r="B399" s="4" t="s">
        <v>11</v>
      </c>
      <c r="C399" s="4" t="s">
        <v>10</v>
      </c>
      <c r="D399" s="4">
        <v>5281.56</v>
      </c>
      <c r="E399" s="4">
        <v>956.4</v>
      </c>
    </row>
    <row r="400" spans="1:5" x14ac:dyDescent="0.25">
      <c r="A400">
        <v>399</v>
      </c>
      <c r="B400" s="4" t="s">
        <v>11</v>
      </c>
      <c r="C400" s="4" t="s">
        <v>10</v>
      </c>
      <c r="D400" s="4">
        <v>3627.46</v>
      </c>
      <c r="E400" s="4">
        <v>1702.5</v>
      </c>
    </row>
    <row r="401" spans="1:5" x14ac:dyDescent="0.25">
      <c r="A401">
        <v>400</v>
      </c>
      <c r="B401" s="4" t="s">
        <v>10</v>
      </c>
      <c r="C401" s="4" t="s">
        <v>11</v>
      </c>
      <c r="D401" s="4">
        <v>4567.2</v>
      </c>
      <c r="E401" s="4">
        <v>3117.4500000000003</v>
      </c>
    </row>
    <row r="402" spans="1:5" x14ac:dyDescent="0.25">
      <c r="A402">
        <v>401</v>
      </c>
      <c r="B402" s="4" t="s">
        <v>11</v>
      </c>
      <c r="C402" s="4" t="s">
        <v>10</v>
      </c>
      <c r="D402" s="4">
        <v>4343.8500000000004</v>
      </c>
      <c r="E402" s="4">
        <v>1916.7</v>
      </c>
    </row>
    <row r="403" spans="1:5" x14ac:dyDescent="0.25">
      <c r="A403">
        <v>402</v>
      </c>
      <c r="B403" s="4" t="s">
        <v>10</v>
      </c>
      <c r="C403" s="4" t="s">
        <v>11</v>
      </c>
      <c r="D403" s="4">
        <v>3081.34</v>
      </c>
      <c r="E403" s="4">
        <v>1887</v>
      </c>
    </row>
    <row r="404" spans="1:5" x14ac:dyDescent="0.25">
      <c r="A404">
        <v>403</v>
      </c>
      <c r="B404" s="4" t="s">
        <v>11</v>
      </c>
      <c r="C404" s="4" t="s">
        <v>11</v>
      </c>
      <c r="D404" s="4">
        <v>3152</v>
      </c>
      <c r="E404" s="4">
        <v>2169</v>
      </c>
    </row>
    <row r="405" spans="1:5" x14ac:dyDescent="0.25">
      <c r="A405">
        <v>404</v>
      </c>
      <c r="B405" s="4" t="s">
        <v>11</v>
      </c>
      <c r="C405" s="4" t="s">
        <v>10</v>
      </c>
      <c r="D405" s="4">
        <v>2909.15</v>
      </c>
      <c r="E405" s="4">
        <v>1951.3500000000001</v>
      </c>
    </row>
    <row r="406" spans="1:5" x14ac:dyDescent="0.25">
      <c r="A406">
        <v>405</v>
      </c>
      <c r="B406" s="4" t="s">
        <v>11</v>
      </c>
      <c r="C406" s="4" t="s">
        <v>11</v>
      </c>
      <c r="D406" s="4">
        <v>4358.51</v>
      </c>
      <c r="E406" s="4">
        <v>4215.8999999999996</v>
      </c>
    </row>
    <row r="407" spans="1:5" x14ac:dyDescent="0.25">
      <c r="A407">
        <v>406</v>
      </c>
      <c r="B407" s="4" t="s">
        <v>11</v>
      </c>
      <c r="C407" s="4" t="s">
        <v>11</v>
      </c>
      <c r="D407" s="4">
        <v>3585.86</v>
      </c>
      <c r="E407" s="4">
        <v>2251.9499999999998</v>
      </c>
    </row>
    <row r="408" spans="1:5" x14ac:dyDescent="0.25">
      <c r="A408">
        <v>407</v>
      </c>
      <c r="B408" s="4" t="s">
        <v>11</v>
      </c>
      <c r="C408" s="4" t="s">
        <v>10</v>
      </c>
      <c r="D408" s="4">
        <v>5497.26</v>
      </c>
      <c r="E408" s="4">
        <v>5249.55</v>
      </c>
    </row>
    <row r="409" spans="1:5" x14ac:dyDescent="0.25">
      <c r="A409">
        <v>408</v>
      </c>
      <c r="B409" s="4" t="s">
        <v>11</v>
      </c>
      <c r="C409" s="4" t="s">
        <v>11</v>
      </c>
      <c r="D409" s="4">
        <v>6825.49</v>
      </c>
      <c r="E409" s="4">
        <v>2548.7999999999997</v>
      </c>
    </row>
    <row r="410" spans="1:5" x14ac:dyDescent="0.25">
      <c r="A410">
        <v>409</v>
      </c>
      <c r="B410" s="4" t="s">
        <v>11</v>
      </c>
      <c r="C410" s="4" t="s">
        <v>10</v>
      </c>
      <c r="D410" s="4">
        <v>7231.62</v>
      </c>
      <c r="E410" s="4">
        <v>910.94999999999993</v>
      </c>
    </row>
    <row r="411" spans="1:5" x14ac:dyDescent="0.25">
      <c r="A411">
        <v>410</v>
      </c>
      <c r="B411" s="4" t="s">
        <v>11</v>
      </c>
      <c r="C411" s="4" t="s">
        <v>10</v>
      </c>
      <c r="D411" s="4">
        <v>2297.85</v>
      </c>
      <c r="E411" s="4">
        <v>2281.5</v>
      </c>
    </row>
    <row r="412" spans="1:5" x14ac:dyDescent="0.25">
      <c r="A412">
        <v>411</v>
      </c>
      <c r="B412" s="4" t="s">
        <v>10</v>
      </c>
      <c r="C412" s="4" t="s">
        <v>10</v>
      </c>
      <c r="D412" s="4">
        <v>8072.26</v>
      </c>
      <c r="E412" s="4">
        <v>853.65</v>
      </c>
    </row>
    <row r="413" spans="1:5" x14ac:dyDescent="0.25">
      <c r="A413">
        <v>412</v>
      </c>
      <c r="B413" s="4" t="s">
        <v>11</v>
      </c>
      <c r="C413" s="4" t="s">
        <v>10</v>
      </c>
      <c r="D413" s="4">
        <v>4787.55</v>
      </c>
      <c r="E413" s="4">
        <v>1262.25</v>
      </c>
    </row>
    <row r="414" spans="1:5" x14ac:dyDescent="0.25">
      <c r="A414">
        <v>413</v>
      </c>
      <c r="B414" s="4" t="s">
        <v>11</v>
      </c>
      <c r="C414" s="4" t="s">
        <v>11</v>
      </c>
      <c r="D414" s="4">
        <v>2421.04</v>
      </c>
      <c r="E414" s="4">
        <v>2321.1000000000004</v>
      </c>
    </row>
    <row r="415" spans="1:5" x14ac:dyDescent="0.25">
      <c r="A415">
        <v>414</v>
      </c>
      <c r="B415" s="4" t="s">
        <v>10</v>
      </c>
      <c r="C415" s="4" t="s">
        <v>11</v>
      </c>
      <c r="D415" s="4">
        <v>2040.42</v>
      </c>
      <c r="E415" s="4">
        <v>2182.9499999999998</v>
      </c>
    </row>
    <row r="416" spans="1:5" x14ac:dyDescent="0.25">
      <c r="A416">
        <v>415</v>
      </c>
      <c r="B416" s="4" t="s">
        <v>11</v>
      </c>
      <c r="C416" s="4" t="s">
        <v>11</v>
      </c>
      <c r="D416" s="4">
        <v>6108.57</v>
      </c>
      <c r="E416" s="4">
        <v>2851.35</v>
      </c>
    </row>
    <row r="417" spans="1:5" x14ac:dyDescent="0.25">
      <c r="A417">
        <v>416</v>
      </c>
      <c r="B417" s="4" t="s">
        <v>11</v>
      </c>
      <c r="C417" s="4" t="s">
        <v>10</v>
      </c>
      <c r="D417" s="4">
        <v>3153.68</v>
      </c>
      <c r="E417" s="4">
        <v>1379.55</v>
      </c>
    </row>
    <row r="418" spans="1:5" x14ac:dyDescent="0.25">
      <c r="A418">
        <v>417</v>
      </c>
      <c r="B418" s="4" t="s">
        <v>10</v>
      </c>
      <c r="C418" s="4" t="s">
        <v>10</v>
      </c>
      <c r="D418" s="4">
        <v>2173.4499999999998</v>
      </c>
      <c r="E418" s="4">
        <v>1317</v>
      </c>
    </row>
    <row r="419" spans="1:5" x14ac:dyDescent="0.25">
      <c r="A419">
        <v>418</v>
      </c>
      <c r="B419" s="4" t="s">
        <v>11</v>
      </c>
      <c r="C419" s="4" t="s">
        <v>11</v>
      </c>
      <c r="D419" s="4">
        <v>2517.7399999999998</v>
      </c>
      <c r="E419" s="4">
        <v>4897.05</v>
      </c>
    </row>
    <row r="420" spans="1:5" x14ac:dyDescent="0.25">
      <c r="A420">
        <v>419</v>
      </c>
      <c r="B420" s="4" t="s">
        <v>11</v>
      </c>
      <c r="C420" s="4" t="s">
        <v>11</v>
      </c>
      <c r="D420" s="4">
        <v>7516.35</v>
      </c>
      <c r="E420" s="4">
        <v>4875.2999999999993</v>
      </c>
    </row>
    <row r="421" spans="1:5" x14ac:dyDescent="0.25">
      <c r="A421">
        <v>420</v>
      </c>
      <c r="B421" s="4" t="s">
        <v>11</v>
      </c>
      <c r="C421" s="4" t="s">
        <v>10</v>
      </c>
      <c r="D421" s="4">
        <v>5135.88</v>
      </c>
      <c r="E421" s="4">
        <v>1174.5</v>
      </c>
    </row>
    <row r="422" spans="1:5" x14ac:dyDescent="0.25">
      <c r="A422">
        <v>421</v>
      </c>
      <c r="B422" s="4" t="s">
        <v>11</v>
      </c>
      <c r="C422" s="4" t="s">
        <v>11</v>
      </c>
      <c r="D422" s="4">
        <v>4040.09</v>
      </c>
      <c r="E422" s="4">
        <v>2014.5000000000002</v>
      </c>
    </row>
    <row r="423" spans="1:5" x14ac:dyDescent="0.25">
      <c r="A423">
        <v>422</v>
      </c>
      <c r="B423" s="4" t="s">
        <v>11</v>
      </c>
      <c r="C423" s="4" t="s">
        <v>11</v>
      </c>
      <c r="D423" s="4">
        <v>3146.68</v>
      </c>
      <c r="E423" s="4">
        <v>2310.9</v>
      </c>
    </row>
    <row r="424" spans="1:5" x14ac:dyDescent="0.25">
      <c r="A424">
        <v>423</v>
      </c>
      <c r="B424" s="4" t="s">
        <v>10</v>
      </c>
      <c r="C424" s="4" t="s">
        <v>10</v>
      </c>
      <c r="D424" s="4">
        <v>9592.99</v>
      </c>
      <c r="E424" s="4">
        <v>793.80000000000007</v>
      </c>
    </row>
    <row r="425" spans="1:5" x14ac:dyDescent="0.25">
      <c r="A425">
        <v>424</v>
      </c>
      <c r="B425" s="4" t="s">
        <v>11</v>
      </c>
      <c r="C425" s="4" t="s">
        <v>10</v>
      </c>
      <c r="D425" s="4">
        <v>6039.76</v>
      </c>
      <c r="E425" s="4">
        <v>1461.8999999999999</v>
      </c>
    </row>
    <row r="426" spans="1:5" x14ac:dyDescent="0.25">
      <c r="A426">
        <v>425</v>
      </c>
      <c r="B426" s="4" t="s">
        <v>10</v>
      </c>
      <c r="C426" s="4" t="s">
        <v>11</v>
      </c>
      <c r="D426" s="4">
        <v>4891.84</v>
      </c>
      <c r="E426" s="4">
        <v>1310.25</v>
      </c>
    </row>
    <row r="427" spans="1:5" x14ac:dyDescent="0.25">
      <c r="A427">
        <v>426</v>
      </c>
      <c r="B427" s="4" t="s">
        <v>10</v>
      </c>
      <c r="C427" s="4" t="s">
        <v>10</v>
      </c>
      <c r="D427" s="4">
        <v>2275.2399999999998</v>
      </c>
      <c r="E427" s="4">
        <v>2437.9499999999998</v>
      </c>
    </row>
    <row r="428" spans="1:5" x14ac:dyDescent="0.25">
      <c r="A428">
        <v>427</v>
      </c>
      <c r="B428" s="4" t="s">
        <v>11</v>
      </c>
      <c r="C428" s="4" t="s">
        <v>11</v>
      </c>
      <c r="D428" s="4">
        <v>5137.41</v>
      </c>
      <c r="E428" s="4">
        <v>2637.15</v>
      </c>
    </row>
    <row r="429" spans="1:5" x14ac:dyDescent="0.25">
      <c r="A429">
        <v>428</v>
      </c>
      <c r="B429" s="4" t="s">
        <v>10</v>
      </c>
      <c r="C429" s="4" t="s">
        <v>11</v>
      </c>
      <c r="D429" s="4">
        <v>2422.98</v>
      </c>
      <c r="E429" s="4">
        <v>1858.35</v>
      </c>
    </row>
    <row r="430" spans="1:5" x14ac:dyDescent="0.25">
      <c r="A430">
        <v>429</v>
      </c>
      <c r="B430" s="4" t="s">
        <v>11</v>
      </c>
      <c r="C430" s="4" t="s">
        <v>10</v>
      </c>
      <c r="D430" s="4">
        <v>4745.3</v>
      </c>
      <c r="E430" s="4">
        <v>3615.6</v>
      </c>
    </row>
    <row r="431" spans="1:5" x14ac:dyDescent="0.25">
      <c r="A431">
        <v>430</v>
      </c>
      <c r="B431" s="4" t="s">
        <v>11</v>
      </c>
      <c r="C431" s="4" t="s">
        <v>11</v>
      </c>
      <c r="D431" s="4">
        <v>5068.53</v>
      </c>
      <c r="E431" s="4">
        <v>4374.9000000000005</v>
      </c>
    </row>
    <row r="432" spans="1:5" x14ac:dyDescent="0.25">
      <c r="A432">
        <v>431</v>
      </c>
      <c r="B432" s="4" t="s">
        <v>11</v>
      </c>
      <c r="C432" s="4" t="s">
        <v>10</v>
      </c>
      <c r="D432" s="4">
        <v>5502.33</v>
      </c>
      <c r="E432" s="4">
        <v>1007.5500000000001</v>
      </c>
    </row>
    <row r="433" spans="1:5" x14ac:dyDescent="0.25">
      <c r="A433">
        <v>432</v>
      </c>
      <c r="B433" s="4" t="s">
        <v>10</v>
      </c>
      <c r="C433" s="4" t="s">
        <v>10</v>
      </c>
      <c r="D433" s="4">
        <v>1771.85</v>
      </c>
      <c r="E433" s="4">
        <v>1820.25</v>
      </c>
    </row>
    <row r="434" spans="1:5" x14ac:dyDescent="0.25">
      <c r="A434">
        <v>433</v>
      </c>
      <c r="B434" s="4" t="s">
        <v>10</v>
      </c>
      <c r="C434" s="4" t="s">
        <v>11</v>
      </c>
      <c r="D434" s="4">
        <v>2828.16</v>
      </c>
      <c r="E434" s="4">
        <v>1847.7</v>
      </c>
    </row>
    <row r="435" spans="1:5" x14ac:dyDescent="0.25">
      <c r="A435">
        <v>434</v>
      </c>
      <c r="B435" s="4" t="s">
        <v>10</v>
      </c>
      <c r="C435" s="4" t="s">
        <v>10</v>
      </c>
      <c r="D435" s="4">
        <v>6906.75</v>
      </c>
      <c r="E435" s="4">
        <v>797.1</v>
      </c>
    </row>
    <row r="436" spans="1:5" x14ac:dyDescent="0.25">
      <c r="A436">
        <v>435</v>
      </c>
      <c r="B436" s="4" t="s">
        <v>11</v>
      </c>
      <c r="C436" s="4" t="s">
        <v>11</v>
      </c>
      <c r="D436" s="4">
        <v>3266.44</v>
      </c>
      <c r="E436" s="4">
        <v>1641.6</v>
      </c>
    </row>
    <row r="437" spans="1:5" x14ac:dyDescent="0.25">
      <c r="A437">
        <v>436</v>
      </c>
      <c r="B437" s="4" t="s">
        <v>11</v>
      </c>
      <c r="C437" s="4" t="s">
        <v>11</v>
      </c>
      <c r="D437" s="4">
        <v>3289.86</v>
      </c>
      <c r="E437" s="4">
        <v>1514.25</v>
      </c>
    </row>
    <row r="438" spans="1:5" x14ac:dyDescent="0.25">
      <c r="A438">
        <v>437</v>
      </c>
      <c r="B438" s="4" t="s">
        <v>10</v>
      </c>
      <c r="C438" s="4" t="s">
        <v>10</v>
      </c>
      <c r="D438" s="4">
        <v>2522.0100000000002</v>
      </c>
      <c r="E438" s="4">
        <v>833.55</v>
      </c>
    </row>
    <row r="439" spans="1:5" x14ac:dyDescent="0.25">
      <c r="A439">
        <v>438</v>
      </c>
      <c r="B439" s="4" t="s">
        <v>10</v>
      </c>
      <c r="C439" s="4" t="s">
        <v>10</v>
      </c>
      <c r="D439" s="4">
        <v>5553.16</v>
      </c>
      <c r="E439" s="4">
        <v>1300.6499999999999</v>
      </c>
    </row>
    <row r="440" spans="1:5" x14ac:dyDescent="0.25">
      <c r="A440">
        <v>439</v>
      </c>
      <c r="B440" s="4" t="s">
        <v>11</v>
      </c>
      <c r="C440" s="4" t="s">
        <v>10</v>
      </c>
      <c r="D440" s="4">
        <v>5569.75</v>
      </c>
      <c r="E440" s="4">
        <v>1849.05</v>
      </c>
    </row>
    <row r="441" spans="1:5" x14ac:dyDescent="0.25">
      <c r="A441">
        <v>440</v>
      </c>
      <c r="B441" s="4" t="s">
        <v>11</v>
      </c>
      <c r="C441" s="4" t="s">
        <v>11</v>
      </c>
      <c r="D441" s="4">
        <v>4468.8</v>
      </c>
      <c r="E441" s="4">
        <v>3497.4</v>
      </c>
    </row>
    <row r="442" spans="1:5" x14ac:dyDescent="0.25">
      <c r="A442">
        <v>441</v>
      </c>
      <c r="B442" s="4" t="s">
        <v>11</v>
      </c>
      <c r="C442" s="4" t="s">
        <v>10</v>
      </c>
      <c r="D442" s="4">
        <v>5201.6499999999996</v>
      </c>
      <c r="E442" s="4">
        <v>949.5</v>
      </c>
    </row>
    <row r="443" spans="1:5" x14ac:dyDescent="0.25">
      <c r="A443">
        <v>442</v>
      </c>
      <c r="B443" s="4" t="s">
        <v>11</v>
      </c>
      <c r="C443" s="4" t="s">
        <v>10</v>
      </c>
      <c r="D443" s="4">
        <v>4876.68</v>
      </c>
      <c r="E443" s="4">
        <v>1448.7</v>
      </c>
    </row>
    <row r="444" spans="1:5" x14ac:dyDescent="0.25">
      <c r="A444">
        <v>443</v>
      </c>
      <c r="B444" s="4" t="s">
        <v>10</v>
      </c>
      <c r="C444" s="4" t="s">
        <v>10</v>
      </c>
      <c r="D444" s="4">
        <v>5296.51</v>
      </c>
      <c r="E444" s="4">
        <v>673.35</v>
      </c>
    </row>
    <row r="445" spans="1:5" x14ac:dyDescent="0.25">
      <c r="A445">
        <v>444</v>
      </c>
      <c r="B445" s="4" t="s">
        <v>10</v>
      </c>
      <c r="C445" s="4" t="s">
        <v>10</v>
      </c>
      <c r="D445" s="4">
        <v>2318.2800000000002</v>
      </c>
      <c r="E445" s="4">
        <v>1037.8499999999999</v>
      </c>
    </row>
    <row r="446" spans="1:5" x14ac:dyDescent="0.25">
      <c r="A446">
        <v>445</v>
      </c>
      <c r="B446" s="4" t="s">
        <v>11</v>
      </c>
      <c r="C446" s="4" t="s">
        <v>10</v>
      </c>
      <c r="D446" s="4">
        <v>5218.38</v>
      </c>
      <c r="E446" s="4">
        <v>1049.25</v>
      </c>
    </row>
    <row r="447" spans="1:5" x14ac:dyDescent="0.25">
      <c r="A447">
        <v>446</v>
      </c>
      <c r="B447" s="4" t="s">
        <v>11</v>
      </c>
      <c r="C447" s="4" t="s">
        <v>11</v>
      </c>
      <c r="D447" s="4">
        <v>6108.57</v>
      </c>
      <c r="E447" s="4">
        <v>2851.35</v>
      </c>
    </row>
    <row r="448" spans="1:5" x14ac:dyDescent="0.25">
      <c r="A448">
        <v>447</v>
      </c>
      <c r="B448" s="4" t="s">
        <v>11</v>
      </c>
      <c r="C448" s="4" t="s">
        <v>11</v>
      </c>
      <c r="D448" s="4">
        <v>5792.28</v>
      </c>
      <c r="E448" s="4">
        <v>2610.9</v>
      </c>
    </row>
    <row r="449" spans="1:5" x14ac:dyDescent="0.25">
      <c r="A449">
        <v>448</v>
      </c>
      <c r="B449" s="4" t="s">
        <v>11</v>
      </c>
      <c r="C449" s="4" t="s">
        <v>11</v>
      </c>
      <c r="D449" s="4">
        <v>4103.1000000000004</v>
      </c>
      <c r="E449" s="4">
        <v>3070.2000000000003</v>
      </c>
    </row>
    <row r="450" spans="1:5" x14ac:dyDescent="0.25">
      <c r="A450">
        <v>449</v>
      </c>
      <c r="B450" s="4" t="s">
        <v>11</v>
      </c>
      <c r="C450" s="4" t="s">
        <v>11</v>
      </c>
      <c r="D450" s="4">
        <v>3647.27</v>
      </c>
      <c r="E450" s="4">
        <v>3225.1499999999996</v>
      </c>
    </row>
    <row r="451" spans="1:5" x14ac:dyDescent="0.25">
      <c r="A451">
        <v>450</v>
      </c>
      <c r="B451" s="4" t="s">
        <v>11</v>
      </c>
      <c r="C451" s="4" t="s">
        <v>11</v>
      </c>
      <c r="D451" s="4">
        <v>2313.6</v>
      </c>
      <c r="E451" s="4">
        <v>4487.55</v>
      </c>
    </row>
    <row r="452" spans="1:5" x14ac:dyDescent="0.25">
      <c r="A452">
        <v>451</v>
      </c>
      <c r="B452" s="4" t="s">
        <v>11</v>
      </c>
      <c r="C452" s="4" t="s">
        <v>10</v>
      </c>
      <c r="D452" s="4">
        <v>4109.87</v>
      </c>
      <c r="E452" s="4">
        <v>1020.9000000000001</v>
      </c>
    </row>
    <row r="453" spans="1:5" x14ac:dyDescent="0.25">
      <c r="A453">
        <v>452</v>
      </c>
      <c r="B453" s="4" t="s">
        <v>10</v>
      </c>
      <c r="C453" s="4" t="s">
        <v>11</v>
      </c>
      <c r="D453" s="4">
        <v>4681.68</v>
      </c>
      <c r="E453" s="4">
        <v>1700.85</v>
      </c>
    </row>
    <row r="454" spans="1:5" x14ac:dyDescent="0.25">
      <c r="A454">
        <v>453</v>
      </c>
      <c r="B454" s="4" t="s">
        <v>11</v>
      </c>
      <c r="C454" s="4" t="s">
        <v>10</v>
      </c>
      <c r="D454" s="4">
        <v>5230.32</v>
      </c>
      <c r="E454" s="4">
        <v>1016.55</v>
      </c>
    </row>
    <row r="455" spans="1:5" x14ac:dyDescent="0.25">
      <c r="A455">
        <v>454</v>
      </c>
      <c r="B455" s="4" t="s">
        <v>11</v>
      </c>
      <c r="C455" s="4" t="s">
        <v>11</v>
      </c>
      <c r="D455" s="4">
        <v>8117.12</v>
      </c>
      <c r="E455" s="4">
        <v>3875.55</v>
      </c>
    </row>
    <row r="456" spans="1:5" x14ac:dyDescent="0.25">
      <c r="A456">
        <v>455</v>
      </c>
      <c r="B456" s="4" t="s">
        <v>10</v>
      </c>
      <c r="C456" s="4" t="s">
        <v>11</v>
      </c>
      <c r="D456" s="4">
        <v>4580.05</v>
      </c>
      <c r="E456" s="4">
        <v>1994.1</v>
      </c>
    </row>
    <row r="457" spans="1:5" x14ac:dyDescent="0.25">
      <c r="A457">
        <v>456</v>
      </c>
      <c r="B457" s="4" t="s">
        <v>11</v>
      </c>
      <c r="C457" s="4" t="s">
        <v>11</v>
      </c>
      <c r="D457" s="4">
        <v>3911.17</v>
      </c>
      <c r="E457" s="4">
        <v>2353.9500000000003</v>
      </c>
    </row>
    <row r="458" spans="1:5" x14ac:dyDescent="0.25">
      <c r="A458">
        <v>457</v>
      </c>
      <c r="B458" s="4" t="s">
        <v>11</v>
      </c>
      <c r="C458" s="4" t="s">
        <v>10</v>
      </c>
      <c r="D458" s="4">
        <v>2657.35</v>
      </c>
      <c r="E458" s="4">
        <v>1282.05</v>
      </c>
    </row>
    <row r="459" spans="1:5" x14ac:dyDescent="0.25">
      <c r="A459">
        <v>458</v>
      </c>
      <c r="B459" s="4" t="s">
        <v>11</v>
      </c>
      <c r="C459" s="4" t="s">
        <v>10</v>
      </c>
      <c r="D459" s="4">
        <v>2711.42</v>
      </c>
      <c r="E459" s="4">
        <v>2784.75</v>
      </c>
    </row>
    <row r="460" spans="1:5" x14ac:dyDescent="0.25">
      <c r="A460">
        <v>459</v>
      </c>
      <c r="B460" s="4" t="s">
        <v>11</v>
      </c>
      <c r="C460" s="4" t="s">
        <v>11</v>
      </c>
      <c r="D460" s="4">
        <v>2024.97</v>
      </c>
      <c r="E460" s="4">
        <v>1747.8</v>
      </c>
    </row>
    <row r="461" spans="1:5" x14ac:dyDescent="0.25">
      <c r="A461">
        <v>460</v>
      </c>
      <c r="B461" s="4" t="s">
        <v>11</v>
      </c>
      <c r="C461" s="4" t="s">
        <v>11</v>
      </c>
      <c r="D461" s="4">
        <v>4317.66</v>
      </c>
      <c r="E461" s="4">
        <v>4041.4500000000003</v>
      </c>
    </row>
    <row r="462" spans="1:5" x14ac:dyDescent="0.25">
      <c r="A462">
        <v>461</v>
      </c>
      <c r="B462" s="4" t="s">
        <v>11</v>
      </c>
      <c r="C462" s="4" t="s">
        <v>11</v>
      </c>
      <c r="D462" s="4">
        <v>4579.82</v>
      </c>
      <c r="E462" s="4">
        <v>2905.0499999999997</v>
      </c>
    </row>
    <row r="463" spans="1:5" x14ac:dyDescent="0.25">
      <c r="A463">
        <v>462</v>
      </c>
      <c r="B463" s="4" t="s">
        <v>11</v>
      </c>
      <c r="C463" s="4" t="s">
        <v>10</v>
      </c>
      <c r="D463" s="4">
        <v>3942.83</v>
      </c>
      <c r="E463" s="4">
        <v>2929.2</v>
      </c>
    </row>
    <row r="464" spans="1:5" x14ac:dyDescent="0.25">
      <c r="A464">
        <v>463</v>
      </c>
      <c r="B464" s="4" t="s">
        <v>11</v>
      </c>
      <c r="C464" s="4" t="s">
        <v>11</v>
      </c>
      <c r="D464" s="4">
        <v>4478.87</v>
      </c>
      <c r="E464" s="4">
        <v>2956.5</v>
      </c>
    </row>
    <row r="465" spans="1:5" x14ac:dyDescent="0.25">
      <c r="A465">
        <v>464</v>
      </c>
      <c r="B465" s="4" t="s">
        <v>11</v>
      </c>
      <c r="C465" s="4" t="s">
        <v>10</v>
      </c>
      <c r="D465" s="4">
        <v>5149.03</v>
      </c>
      <c r="E465" s="4">
        <v>992.1</v>
      </c>
    </row>
    <row r="466" spans="1:5" x14ac:dyDescent="0.25">
      <c r="A466">
        <v>465</v>
      </c>
      <c r="B466" s="4" t="s">
        <v>10</v>
      </c>
      <c r="C466" s="4" t="s">
        <v>10</v>
      </c>
      <c r="D466" s="4">
        <v>3552.11</v>
      </c>
      <c r="E466" s="4">
        <v>746.55000000000007</v>
      </c>
    </row>
    <row r="467" spans="1:5" x14ac:dyDescent="0.25">
      <c r="A467">
        <v>466</v>
      </c>
      <c r="B467" s="4" t="s">
        <v>10</v>
      </c>
      <c r="C467" s="4" t="s">
        <v>10</v>
      </c>
      <c r="D467" s="4">
        <v>3076.53</v>
      </c>
      <c r="E467" s="4">
        <v>1491.45</v>
      </c>
    </row>
    <row r="468" spans="1:5" x14ac:dyDescent="0.25">
      <c r="A468">
        <v>467</v>
      </c>
      <c r="B468" s="4" t="s">
        <v>11</v>
      </c>
      <c r="C468" s="4" t="s">
        <v>11</v>
      </c>
      <c r="D468" s="4">
        <v>6317.55</v>
      </c>
      <c r="E468" s="4">
        <v>3514.65</v>
      </c>
    </row>
    <row r="469" spans="1:5" x14ac:dyDescent="0.25">
      <c r="A469">
        <v>468</v>
      </c>
      <c r="B469" s="4" t="s">
        <v>11</v>
      </c>
      <c r="C469" s="4" t="s">
        <v>11</v>
      </c>
      <c r="D469" s="4">
        <v>9249.1299999999992</v>
      </c>
      <c r="E469" s="4">
        <v>4298.1000000000004</v>
      </c>
    </row>
    <row r="470" spans="1:5" x14ac:dyDescent="0.25">
      <c r="A470">
        <v>469</v>
      </c>
      <c r="B470" s="4" t="s">
        <v>11</v>
      </c>
      <c r="C470" s="4" t="s">
        <v>10</v>
      </c>
      <c r="D470" s="4">
        <v>4956.2700000000004</v>
      </c>
      <c r="E470" s="4">
        <v>950.85</v>
      </c>
    </row>
    <row r="471" spans="1:5" x14ac:dyDescent="0.25">
      <c r="A471">
        <v>470</v>
      </c>
      <c r="B471" s="4" t="s">
        <v>11</v>
      </c>
      <c r="C471" s="4" t="s">
        <v>11</v>
      </c>
      <c r="D471" s="4">
        <v>4624.8999999999996</v>
      </c>
      <c r="E471" s="4">
        <v>1709.85</v>
      </c>
    </row>
    <row r="472" spans="1:5" x14ac:dyDescent="0.25">
      <c r="A472">
        <v>471</v>
      </c>
      <c r="B472" s="4" t="s">
        <v>11</v>
      </c>
      <c r="C472" s="4" t="s">
        <v>10</v>
      </c>
      <c r="D472" s="4">
        <v>4109.87</v>
      </c>
      <c r="E472" s="4">
        <v>1020.9000000000001</v>
      </c>
    </row>
    <row r="473" spans="1:5" x14ac:dyDescent="0.25">
      <c r="A473">
        <v>472</v>
      </c>
      <c r="B473" s="4" t="s">
        <v>11</v>
      </c>
      <c r="C473" s="4" t="s">
        <v>11</v>
      </c>
      <c r="D473" s="4">
        <v>3543.34</v>
      </c>
      <c r="E473" s="4">
        <v>2934.6</v>
      </c>
    </row>
    <row r="474" spans="1:5" x14ac:dyDescent="0.25">
      <c r="A474">
        <v>473</v>
      </c>
      <c r="B474" s="4" t="s">
        <v>11</v>
      </c>
      <c r="C474" s="4" t="s">
        <v>10</v>
      </c>
      <c r="D474" s="4">
        <v>3467.7</v>
      </c>
      <c r="E474" s="4">
        <v>1576.9499999999998</v>
      </c>
    </row>
    <row r="475" spans="1:5" x14ac:dyDescent="0.25">
      <c r="A475">
        <v>474</v>
      </c>
      <c r="B475" s="4" t="s">
        <v>11</v>
      </c>
      <c r="C475" s="4" t="s">
        <v>11</v>
      </c>
      <c r="D475" s="4">
        <v>4248.47</v>
      </c>
      <c r="E475" s="4">
        <v>1876.3500000000001</v>
      </c>
    </row>
    <row r="476" spans="1:5" x14ac:dyDescent="0.25">
      <c r="A476">
        <v>475</v>
      </c>
      <c r="B476" s="4" t="s">
        <v>11</v>
      </c>
      <c r="C476" s="4" t="s">
        <v>11</v>
      </c>
      <c r="D476" s="4">
        <v>4213.71</v>
      </c>
      <c r="E476" s="4">
        <v>3847.2000000000003</v>
      </c>
    </row>
    <row r="477" spans="1:5" x14ac:dyDescent="0.25">
      <c r="A477">
        <v>476</v>
      </c>
      <c r="B477" s="4" t="s">
        <v>10</v>
      </c>
      <c r="C477" s="4" t="s">
        <v>11</v>
      </c>
      <c r="D477" s="4">
        <v>4956.58</v>
      </c>
      <c r="E477" s="4">
        <v>1737.6000000000001</v>
      </c>
    </row>
    <row r="478" spans="1:5" x14ac:dyDescent="0.25">
      <c r="A478">
        <v>477</v>
      </c>
      <c r="B478" s="4" t="s">
        <v>11</v>
      </c>
      <c r="C478" s="4" t="s">
        <v>11</v>
      </c>
      <c r="D478" s="4">
        <v>4221.5600000000004</v>
      </c>
      <c r="E478" s="4">
        <v>2738.4</v>
      </c>
    </row>
    <row r="479" spans="1:5" x14ac:dyDescent="0.25">
      <c r="A479">
        <v>478</v>
      </c>
      <c r="B479" s="4" t="s">
        <v>11</v>
      </c>
      <c r="C479" s="4" t="s">
        <v>11</v>
      </c>
      <c r="D479" s="4">
        <v>6143.2</v>
      </c>
      <c r="E479" s="4">
        <v>4175.8499999999995</v>
      </c>
    </row>
    <row r="480" spans="1:5" x14ac:dyDescent="0.25">
      <c r="A480">
        <v>479</v>
      </c>
      <c r="B480" s="4" t="s">
        <v>11</v>
      </c>
      <c r="C480" s="4" t="s">
        <v>11</v>
      </c>
      <c r="D480" s="4">
        <v>2806.92</v>
      </c>
      <c r="E480" s="4">
        <v>1812.6000000000001</v>
      </c>
    </row>
    <row r="481" spans="1:5" x14ac:dyDescent="0.25">
      <c r="A481">
        <v>480</v>
      </c>
      <c r="B481" s="4" t="s">
        <v>11</v>
      </c>
      <c r="C481" s="4" t="s">
        <v>10</v>
      </c>
      <c r="D481" s="4">
        <v>3503.22</v>
      </c>
      <c r="E481" s="4">
        <v>2058</v>
      </c>
    </row>
    <row r="482" spans="1:5" x14ac:dyDescent="0.25">
      <c r="A482">
        <v>481</v>
      </c>
      <c r="B482" s="4" t="s">
        <v>11</v>
      </c>
      <c r="C482" s="4" t="s">
        <v>11</v>
      </c>
      <c r="D482" s="4">
        <v>2626.9</v>
      </c>
      <c r="E482" s="4">
        <v>1758.45</v>
      </c>
    </row>
    <row r="483" spans="1:5" x14ac:dyDescent="0.25">
      <c r="A483">
        <v>482</v>
      </c>
      <c r="B483" s="4" t="s">
        <v>11</v>
      </c>
      <c r="C483" s="4" t="s">
        <v>11</v>
      </c>
      <c r="D483" s="4">
        <v>4202.66</v>
      </c>
      <c r="E483" s="4">
        <v>3163.5</v>
      </c>
    </row>
    <row r="484" spans="1:5" x14ac:dyDescent="0.25">
      <c r="A484">
        <v>483</v>
      </c>
      <c r="B484" s="4" t="s">
        <v>11</v>
      </c>
      <c r="C484" s="4" t="s">
        <v>11</v>
      </c>
      <c r="D484" s="4">
        <v>2712.37</v>
      </c>
      <c r="E484" s="4">
        <v>1599</v>
      </c>
    </row>
    <row r="485" spans="1:5" x14ac:dyDescent="0.25">
      <c r="A485">
        <v>484</v>
      </c>
      <c r="B485" s="4" t="s">
        <v>10</v>
      </c>
      <c r="C485" s="4" t="s">
        <v>11</v>
      </c>
      <c r="D485" s="4">
        <v>7105.01</v>
      </c>
      <c r="E485" s="4">
        <v>1797.6000000000001</v>
      </c>
    </row>
    <row r="486" spans="1:5" x14ac:dyDescent="0.25">
      <c r="A486">
        <v>485</v>
      </c>
      <c r="B486" s="4" t="s">
        <v>10</v>
      </c>
      <c r="C486" s="4" t="s">
        <v>11</v>
      </c>
      <c r="D486" s="4">
        <v>3081.34</v>
      </c>
      <c r="E486" s="4">
        <v>1887</v>
      </c>
    </row>
    <row r="487" spans="1:5" x14ac:dyDescent="0.25">
      <c r="A487">
        <v>486</v>
      </c>
      <c r="B487" s="4" t="s">
        <v>11</v>
      </c>
      <c r="C487" s="4" t="s">
        <v>11</v>
      </c>
      <c r="D487" s="4">
        <v>4409.42</v>
      </c>
      <c r="E487" s="4">
        <v>4194.1500000000005</v>
      </c>
    </row>
    <row r="488" spans="1:5" x14ac:dyDescent="0.25">
      <c r="A488">
        <v>487</v>
      </c>
      <c r="B488" s="4" t="s">
        <v>10</v>
      </c>
      <c r="C488" s="4" t="s">
        <v>11</v>
      </c>
      <c r="D488" s="4">
        <v>4628.9399999999996</v>
      </c>
      <c r="E488" s="4">
        <v>3876.4500000000003</v>
      </c>
    </row>
    <row r="489" spans="1:5" x14ac:dyDescent="0.25">
      <c r="A489">
        <v>488</v>
      </c>
      <c r="B489" s="4" t="s">
        <v>11</v>
      </c>
      <c r="C489" s="4" t="s">
        <v>10</v>
      </c>
      <c r="D489" s="4">
        <v>4356.12</v>
      </c>
      <c r="E489" s="4">
        <v>1980.7500000000002</v>
      </c>
    </row>
    <row r="490" spans="1:5" x14ac:dyDescent="0.25">
      <c r="A490">
        <v>489</v>
      </c>
      <c r="B490" s="4" t="s">
        <v>11</v>
      </c>
      <c r="C490" s="4" t="s">
        <v>11</v>
      </c>
      <c r="D490" s="4">
        <v>5559.43</v>
      </c>
      <c r="E490" s="4">
        <v>5515.8</v>
      </c>
    </row>
    <row r="491" spans="1:5" x14ac:dyDescent="0.25">
      <c r="A491">
        <v>490</v>
      </c>
      <c r="B491" s="4" t="s">
        <v>11</v>
      </c>
      <c r="C491" s="4" t="s">
        <v>11</v>
      </c>
      <c r="D491" s="4">
        <v>4148.5600000000004</v>
      </c>
      <c r="E491" s="4">
        <v>3902.4000000000005</v>
      </c>
    </row>
    <row r="492" spans="1:5" x14ac:dyDescent="0.25">
      <c r="A492">
        <v>491</v>
      </c>
      <c r="B492" s="4" t="s">
        <v>11</v>
      </c>
      <c r="C492" s="4" t="s">
        <v>11</v>
      </c>
      <c r="D492" s="4">
        <v>3654.11</v>
      </c>
      <c r="E492" s="4">
        <v>4412.7</v>
      </c>
    </row>
    <row r="493" spans="1:5" x14ac:dyDescent="0.25">
      <c r="A493">
        <v>492</v>
      </c>
      <c r="B493" s="4" t="s">
        <v>11</v>
      </c>
      <c r="C493" s="4" t="s">
        <v>11</v>
      </c>
      <c r="D493" s="4">
        <v>2995.1</v>
      </c>
      <c r="E493" s="4">
        <v>3130.65</v>
      </c>
    </row>
    <row r="494" spans="1:5" x14ac:dyDescent="0.25">
      <c r="A494">
        <v>493</v>
      </c>
      <c r="B494" s="4" t="s">
        <v>10</v>
      </c>
      <c r="C494" s="4" t="s">
        <v>11</v>
      </c>
      <c r="D494" s="4">
        <v>3947.24</v>
      </c>
      <c r="E494" s="4">
        <v>2533.7999999999997</v>
      </c>
    </row>
    <row r="495" spans="1:5" x14ac:dyDescent="0.25">
      <c r="A495">
        <v>494</v>
      </c>
      <c r="B495" s="4" t="s">
        <v>11</v>
      </c>
      <c r="C495" s="4" t="s">
        <v>10</v>
      </c>
      <c r="D495" s="4">
        <v>1572.93</v>
      </c>
      <c r="E495" s="4">
        <v>3003</v>
      </c>
    </row>
    <row r="496" spans="1:5" x14ac:dyDescent="0.25">
      <c r="A496">
        <v>495</v>
      </c>
      <c r="B496" s="4" t="s">
        <v>11</v>
      </c>
      <c r="C496" s="4" t="s">
        <v>11</v>
      </c>
      <c r="D496" s="4">
        <v>4711.47</v>
      </c>
      <c r="E496" s="4">
        <v>3447.6</v>
      </c>
    </row>
    <row r="497" spans="1:5" x14ac:dyDescent="0.25">
      <c r="A497">
        <v>496</v>
      </c>
      <c r="B497" s="4" t="s">
        <v>10</v>
      </c>
      <c r="C497" s="4" t="s">
        <v>11</v>
      </c>
      <c r="D497" s="4">
        <v>3787.29</v>
      </c>
      <c r="E497" s="4">
        <v>2058.75</v>
      </c>
    </row>
    <row r="498" spans="1:5" x14ac:dyDescent="0.25">
      <c r="A498">
        <v>497</v>
      </c>
      <c r="B498" s="4" t="s">
        <v>11</v>
      </c>
      <c r="C498" s="4" t="s">
        <v>11</v>
      </c>
      <c r="D498" s="4">
        <v>6460.84</v>
      </c>
      <c r="E498" s="4">
        <v>3852.9</v>
      </c>
    </row>
    <row r="499" spans="1:5" x14ac:dyDescent="0.25">
      <c r="A499">
        <v>498</v>
      </c>
      <c r="B499" s="4" t="s">
        <v>11</v>
      </c>
      <c r="C499" s="4" t="s">
        <v>11</v>
      </c>
      <c r="D499" s="4">
        <v>3585.86</v>
      </c>
      <c r="E499" s="4">
        <v>2251.9499999999998</v>
      </c>
    </row>
    <row r="500" spans="1:5" x14ac:dyDescent="0.25">
      <c r="A500">
        <v>499</v>
      </c>
      <c r="B500" s="4" t="s">
        <v>10</v>
      </c>
      <c r="C500" s="4" t="s">
        <v>11</v>
      </c>
      <c r="D500" s="4">
        <v>1833.95</v>
      </c>
      <c r="E500" s="4">
        <v>2000.25</v>
      </c>
    </row>
    <row r="501" spans="1:5" x14ac:dyDescent="0.25">
      <c r="A501">
        <v>500</v>
      </c>
      <c r="B501" s="4" t="s">
        <v>11</v>
      </c>
      <c r="C501" s="4" t="s">
        <v>11</v>
      </c>
      <c r="D501" s="4">
        <v>6205.97</v>
      </c>
      <c r="E501" s="4">
        <v>3667.5</v>
      </c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zoomScale="144" workbookViewId="0">
      <selection activeCell="G18" sqref="G18"/>
    </sheetView>
  </sheetViews>
  <sheetFormatPr defaultRowHeight="15" x14ac:dyDescent="0.25"/>
  <cols>
    <col min="5" max="5" width="18.140625" bestFit="1" customWidth="1"/>
    <col min="6" max="6" width="13" bestFit="1" customWidth="1"/>
    <col min="7" max="7" width="18.140625" bestFit="1" customWidth="1"/>
    <col min="8" max="8" width="13.5703125" bestFit="1" customWidth="1"/>
  </cols>
  <sheetData>
    <row r="1" spans="1:8" x14ac:dyDescent="0.25">
      <c r="A1" s="4" t="s">
        <v>12</v>
      </c>
      <c r="B1" s="4" t="s">
        <v>13</v>
      </c>
      <c r="E1" s="16" t="s">
        <v>12</v>
      </c>
      <c r="F1" s="16"/>
      <c r="G1" s="16" t="s">
        <v>13</v>
      </c>
      <c r="H1" s="11"/>
    </row>
    <row r="2" spans="1:8" x14ac:dyDescent="0.25">
      <c r="A2" s="4">
        <v>86</v>
      </c>
      <c r="B2" s="4">
        <v>78</v>
      </c>
      <c r="E2" s="9"/>
      <c r="F2" s="9"/>
      <c r="G2" s="9"/>
      <c r="H2" s="9"/>
    </row>
    <row r="3" spans="1:8" x14ac:dyDescent="0.25">
      <c r="A3" s="4">
        <v>94</v>
      </c>
      <c r="B3" s="4">
        <v>97</v>
      </c>
      <c r="E3" s="9" t="s">
        <v>21</v>
      </c>
      <c r="F3" s="9">
        <v>82.28125</v>
      </c>
      <c r="G3" s="9" t="s">
        <v>21</v>
      </c>
      <c r="H3" s="9">
        <v>80.75</v>
      </c>
    </row>
    <row r="4" spans="1:8" x14ac:dyDescent="0.25">
      <c r="A4" s="4">
        <v>83</v>
      </c>
      <c r="B4" s="4">
        <v>86</v>
      </c>
      <c r="E4" s="9" t="s">
        <v>22</v>
      </c>
      <c r="F4" s="9">
        <v>3.1167582850874544</v>
      </c>
      <c r="G4" s="9" t="s">
        <v>22</v>
      </c>
      <c r="H4" s="9">
        <v>2.5388116346292868</v>
      </c>
    </row>
    <row r="5" spans="1:8" x14ac:dyDescent="0.25">
      <c r="A5" s="4">
        <v>92</v>
      </c>
      <c r="B5" s="4">
        <v>89</v>
      </c>
      <c r="E5" s="9" t="s">
        <v>23</v>
      </c>
      <c r="F5" s="9">
        <v>87</v>
      </c>
      <c r="G5" s="9" t="s">
        <v>23</v>
      </c>
      <c r="H5" s="9">
        <v>85.5</v>
      </c>
    </row>
    <row r="6" spans="1:8" x14ac:dyDescent="0.25">
      <c r="A6" s="4">
        <v>88</v>
      </c>
      <c r="B6" s="4">
        <v>77</v>
      </c>
      <c r="E6" s="9" t="s">
        <v>24</v>
      </c>
      <c r="F6" s="9">
        <v>98</v>
      </c>
      <c r="G6" s="9" t="s">
        <v>24</v>
      </c>
      <c r="H6" s="9">
        <v>97</v>
      </c>
    </row>
    <row r="7" spans="1:8" x14ac:dyDescent="0.25">
      <c r="A7" s="4">
        <v>75</v>
      </c>
      <c r="B7" s="4">
        <v>68</v>
      </c>
      <c r="E7" s="9" t="s">
        <v>25</v>
      </c>
      <c r="F7" s="9">
        <v>17.631047349637551</v>
      </c>
      <c r="G7" s="9" t="s">
        <v>25</v>
      </c>
      <c r="H7" s="9">
        <v>14.361687384013377</v>
      </c>
    </row>
    <row r="8" spans="1:8" x14ac:dyDescent="0.25">
      <c r="A8" s="4">
        <v>84</v>
      </c>
      <c r="B8" s="4">
        <v>68</v>
      </c>
      <c r="E8" s="9" t="s">
        <v>26</v>
      </c>
      <c r="F8" s="9">
        <v>310.85383064516128</v>
      </c>
      <c r="G8" s="9" t="s">
        <v>26</v>
      </c>
      <c r="H8" s="9">
        <v>206.25806451612902</v>
      </c>
    </row>
    <row r="9" spans="1:8" x14ac:dyDescent="0.25">
      <c r="A9" s="4">
        <v>79</v>
      </c>
      <c r="B9" s="4">
        <v>68</v>
      </c>
      <c r="E9" s="9" t="s">
        <v>27</v>
      </c>
      <c r="F9" s="9">
        <v>0.67771193922719641</v>
      </c>
      <c r="G9" s="9" t="s">
        <v>27</v>
      </c>
      <c r="H9" s="9">
        <v>1.0644872827581469</v>
      </c>
    </row>
    <row r="10" spans="1:8" x14ac:dyDescent="0.25">
      <c r="A10" s="4">
        <v>95</v>
      </c>
      <c r="B10" s="4">
        <v>93</v>
      </c>
      <c r="E10" s="9" t="s">
        <v>28</v>
      </c>
      <c r="F10" s="9">
        <v>-1.2327834201424939</v>
      </c>
      <c r="G10" s="9" t="s">
        <v>28</v>
      </c>
      <c r="H10" s="9">
        <v>-1.0615948524985914</v>
      </c>
    </row>
    <row r="11" spans="1:8" x14ac:dyDescent="0.25">
      <c r="A11" s="4">
        <v>61</v>
      </c>
      <c r="B11" s="4">
        <v>89</v>
      </c>
      <c r="E11" s="9" t="s">
        <v>29</v>
      </c>
      <c r="F11" s="9">
        <v>64</v>
      </c>
      <c r="G11" s="9" t="s">
        <v>29</v>
      </c>
      <c r="H11" s="9">
        <v>59</v>
      </c>
    </row>
    <row r="12" spans="1:8" x14ac:dyDescent="0.25">
      <c r="A12" s="4">
        <v>62</v>
      </c>
      <c r="B12" s="4">
        <v>71</v>
      </c>
      <c r="E12" s="9" t="s">
        <v>30</v>
      </c>
      <c r="F12" s="9">
        <v>36</v>
      </c>
      <c r="G12" s="9" t="s">
        <v>30</v>
      </c>
      <c r="H12" s="9">
        <v>40</v>
      </c>
    </row>
    <row r="13" spans="1:8" x14ac:dyDescent="0.25">
      <c r="A13" s="4">
        <v>98</v>
      </c>
      <c r="B13" s="4">
        <v>90</v>
      </c>
      <c r="E13" s="9" t="s">
        <v>31</v>
      </c>
      <c r="F13" s="9">
        <v>100</v>
      </c>
      <c r="G13" s="9" t="s">
        <v>31</v>
      </c>
      <c r="H13" s="9">
        <v>99</v>
      </c>
    </row>
    <row r="14" spans="1:8" x14ac:dyDescent="0.25">
      <c r="A14" s="4">
        <v>68</v>
      </c>
      <c r="B14" s="4">
        <v>80</v>
      </c>
      <c r="E14" s="9" t="s">
        <v>32</v>
      </c>
      <c r="F14" s="9">
        <v>2633</v>
      </c>
      <c r="G14" s="9" t="s">
        <v>32</v>
      </c>
      <c r="H14" s="9">
        <v>2584</v>
      </c>
    </row>
    <row r="15" spans="1:8" ht="15.75" thickBot="1" x14ac:dyDescent="0.3">
      <c r="A15" s="4">
        <v>96</v>
      </c>
      <c r="B15" s="4">
        <v>81</v>
      </c>
      <c r="E15" s="10" t="s">
        <v>33</v>
      </c>
      <c r="F15" s="10">
        <v>32</v>
      </c>
      <c r="G15" s="10" t="s">
        <v>33</v>
      </c>
      <c r="H15" s="10">
        <v>32</v>
      </c>
    </row>
    <row r="16" spans="1:8" x14ac:dyDescent="0.25">
      <c r="A16" s="4">
        <v>96</v>
      </c>
      <c r="B16" s="4">
        <v>93</v>
      </c>
      <c r="E16" s="9" t="s">
        <v>41</v>
      </c>
      <c r="F16">
        <f>F7/F3</f>
        <v>0.21427782574568996</v>
      </c>
      <c r="G16" s="9" t="s">
        <v>41</v>
      </c>
      <c r="H16">
        <f>H7/H3</f>
        <v>0.17785371373391179</v>
      </c>
    </row>
    <row r="17" spans="1:8" x14ac:dyDescent="0.25">
      <c r="A17" s="4">
        <v>83</v>
      </c>
      <c r="B17" s="4">
        <v>93</v>
      </c>
      <c r="E17" s="13" t="s">
        <v>42</v>
      </c>
      <c r="F17" s="13"/>
      <c r="G17" s="13">
        <f>CORREL(A1:A33, B1:B33)</f>
        <v>0.55178256957528049</v>
      </c>
      <c r="H17" s="13"/>
    </row>
    <row r="18" spans="1:8" x14ac:dyDescent="0.25">
      <c r="A18" s="4">
        <v>82</v>
      </c>
      <c r="B18" s="4">
        <v>72</v>
      </c>
    </row>
    <row r="19" spans="1:8" x14ac:dyDescent="0.25">
      <c r="A19" s="4">
        <v>100</v>
      </c>
      <c r="B19" s="4">
        <v>95</v>
      </c>
    </row>
    <row r="20" spans="1:8" x14ac:dyDescent="0.25">
      <c r="A20" s="4">
        <v>52</v>
      </c>
      <c r="B20" s="4">
        <v>91</v>
      </c>
    </row>
    <row r="21" spans="1:8" x14ac:dyDescent="0.25">
      <c r="A21" s="4">
        <v>100</v>
      </c>
      <c r="B21" s="4">
        <v>89</v>
      </c>
    </row>
    <row r="22" spans="1:8" x14ac:dyDescent="0.25">
      <c r="A22" s="4">
        <v>80</v>
      </c>
      <c r="B22" s="4">
        <v>75</v>
      </c>
    </row>
    <row r="23" spans="1:8" x14ac:dyDescent="0.25">
      <c r="A23" s="4">
        <v>91</v>
      </c>
      <c r="B23" s="4">
        <v>86</v>
      </c>
    </row>
    <row r="24" spans="1:8" x14ac:dyDescent="0.25">
      <c r="A24" s="4">
        <v>86</v>
      </c>
      <c r="B24" s="4">
        <v>97</v>
      </c>
    </row>
    <row r="25" spans="1:8" x14ac:dyDescent="0.25">
      <c r="A25" s="4">
        <v>36</v>
      </c>
      <c r="B25" s="4">
        <v>63</v>
      </c>
    </row>
    <row r="26" spans="1:8" x14ac:dyDescent="0.25">
      <c r="A26" s="4">
        <v>100</v>
      </c>
      <c r="B26" s="4">
        <v>99</v>
      </c>
    </row>
    <row r="27" spans="1:8" x14ac:dyDescent="0.25">
      <c r="A27" s="4">
        <v>51</v>
      </c>
      <c r="B27" s="4">
        <v>67</v>
      </c>
    </row>
    <row r="28" spans="1:8" x14ac:dyDescent="0.25">
      <c r="A28" s="4">
        <v>98</v>
      </c>
      <c r="B28" s="4">
        <v>88</v>
      </c>
    </row>
    <row r="29" spans="1:8" x14ac:dyDescent="0.25">
      <c r="A29" s="4">
        <v>97</v>
      </c>
      <c r="B29" s="4">
        <v>97</v>
      </c>
    </row>
    <row r="30" spans="1:8" x14ac:dyDescent="0.25">
      <c r="A30" s="4">
        <v>98</v>
      </c>
      <c r="B30" s="4">
        <v>85</v>
      </c>
    </row>
    <row r="31" spans="1:8" x14ac:dyDescent="0.25">
      <c r="A31" s="4">
        <v>43</v>
      </c>
      <c r="B31" s="4">
        <v>40</v>
      </c>
    </row>
    <row r="32" spans="1:8" x14ac:dyDescent="0.25">
      <c r="A32" s="4">
        <v>88</v>
      </c>
      <c r="B32" s="4">
        <v>72</v>
      </c>
    </row>
    <row r="33" spans="1:2" x14ac:dyDescent="0.25">
      <c r="A33" s="4">
        <v>91</v>
      </c>
      <c r="B33" s="4">
        <v>47</v>
      </c>
    </row>
  </sheetData>
  <mergeCells count="2">
    <mergeCell ref="E17:F17"/>
    <mergeCell ref="G17:H17"/>
  </mergeCells>
  <pageMargins left="0.7" right="0.7" top="0.75" bottom="0.75" header="0.3" footer="0.3"/>
  <headerFooter>
    <oddHeader>&amp;C&amp;"Aptos"&amp;12&amp;K0000FF General access&amp;1#_x000D_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0F4C-985A-495F-8EEB-2896512256EB}">
  <dimension ref="A1:D38"/>
  <sheetViews>
    <sheetView zoomScale="140" zoomScaleNormal="140" workbookViewId="0">
      <selection activeCell="P8" sqref="P8"/>
    </sheetView>
  </sheetViews>
  <sheetFormatPr defaultRowHeight="15" x14ac:dyDescent="0.25"/>
  <cols>
    <col min="1" max="1" width="4.85546875" bestFit="1" customWidth="1"/>
    <col min="2" max="2" width="11.140625" bestFit="1" customWidth="1"/>
    <col min="3" max="3" width="7" bestFit="1" customWidth="1"/>
    <col min="4" max="4" width="6.140625" customWidth="1"/>
  </cols>
  <sheetData>
    <row r="1" spans="1:4" x14ac:dyDescent="0.25">
      <c r="A1" s="4" t="s">
        <v>18</v>
      </c>
      <c r="B1" s="8" t="s">
        <v>19</v>
      </c>
      <c r="C1" s="8" t="s">
        <v>20</v>
      </c>
      <c r="D1" s="8"/>
    </row>
    <row r="2" spans="1:4" x14ac:dyDescent="0.25">
      <c r="A2" s="4">
        <v>1</v>
      </c>
      <c r="B2" s="8">
        <v>56.32</v>
      </c>
      <c r="C2" s="8">
        <v>-12.16</v>
      </c>
      <c r="D2" s="8"/>
    </row>
    <row r="3" spans="1:4" x14ac:dyDescent="0.25">
      <c r="A3" s="4">
        <v>2</v>
      </c>
      <c r="B3" s="8">
        <v>52.47</v>
      </c>
      <c r="C3" s="8">
        <v>20.27</v>
      </c>
      <c r="D3" s="8"/>
    </row>
    <row r="4" spans="1:4" x14ac:dyDescent="0.25">
      <c r="A4" s="4">
        <f>A3+1</f>
        <v>3</v>
      </c>
      <c r="B4" s="8">
        <v>-16.89</v>
      </c>
      <c r="C4" s="8">
        <v>2.37</v>
      </c>
      <c r="D4" s="8"/>
    </row>
    <row r="5" spans="1:4" x14ac:dyDescent="0.25">
      <c r="A5" s="4">
        <f t="shared" ref="A5:A38" si="0">A4+1</f>
        <v>4</v>
      </c>
      <c r="B5" s="8">
        <v>7.54</v>
      </c>
      <c r="C5" s="8">
        <v>18</v>
      </c>
      <c r="D5" s="8"/>
    </row>
    <row r="6" spans="1:4" x14ac:dyDescent="0.25">
      <c r="A6" s="4">
        <f t="shared" si="0"/>
        <v>5</v>
      </c>
      <c r="B6" s="8">
        <v>-7.47</v>
      </c>
      <c r="C6" s="8">
        <v>5.49</v>
      </c>
      <c r="D6" s="8"/>
    </row>
    <row r="7" spans="1:4" x14ac:dyDescent="0.25">
      <c r="A7" s="4">
        <f t="shared" si="0"/>
        <v>6</v>
      </c>
      <c r="B7" s="8">
        <v>-11.78</v>
      </c>
      <c r="C7" s="8">
        <v>-1.8</v>
      </c>
      <c r="D7" s="8"/>
    </row>
    <row r="8" spans="1:4" x14ac:dyDescent="0.25">
      <c r="A8" s="4">
        <f t="shared" si="0"/>
        <v>7</v>
      </c>
      <c r="B8" s="8">
        <v>-2.7</v>
      </c>
      <c r="C8" s="8">
        <v>15.94</v>
      </c>
      <c r="D8" s="8"/>
    </row>
    <row r="9" spans="1:4" x14ac:dyDescent="0.25">
      <c r="A9" s="4">
        <f t="shared" si="0"/>
        <v>8</v>
      </c>
      <c r="B9" s="8">
        <v>16.989999999999998</v>
      </c>
      <c r="C9" s="8">
        <v>42.83</v>
      </c>
      <c r="D9" s="8"/>
    </row>
    <row r="10" spans="1:4" x14ac:dyDescent="0.25">
      <c r="A10" s="4">
        <f t="shared" si="0"/>
        <v>9</v>
      </c>
      <c r="B10" s="8">
        <v>10.5</v>
      </c>
      <c r="C10" s="8">
        <v>-4.49</v>
      </c>
      <c r="D10" s="8"/>
    </row>
    <row r="11" spans="1:4" x14ac:dyDescent="0.25">
      <c r="A11" s="4">
        <f t="shared" si="0"/>
        <v>10</v>
      </c>
      <c r="B11" s="8">
        <v>58.97</v>
      </c>
      <c r="C11" s="8">
        <v>0.04</v>
      </c>
      <c r="D11" s="8"/>
    </row>
    <row r="12" spans="1:4" x14ac:dyDescent="0.25">
      <c r="A12" s="4">
        <f t="shared" si="0"/>
        <v>11</v>
      </c>
      <c r="B12" s="8">
        <v>8.7200000000000006</v>
      </c>
      <c r="C12" s="8">
        <v>-2.39</v>
      </c>
      <c r="D12" s="8"/>
    </row>
    <row r="13" spans="1:4" x14ac:dyDescent="0.25">
      <c r="A13" s="4">
        <f t="shared" si="0"/>
        <v>12</v>
      </c>
      <c r="B13" s="8">
        <v>28.65</v>
      </c>
      <c r="C13" s="8">
        <v>19.149999999999999</v>
      </c>
      <c r="D13" s="8"/>
    </row>
    <row r="14" spans="1:4" x14ac:dyDescent="0.25">
      <c r="A14" s="4">
        <f t="shared" si="0"/>
        <v>13</v>
      </c>
      <c r="B14" s="8">
        <v>11.13</v>
      </c>
      <c r="C14" s="8">
        <v>0.41</v>
      </c>
      <c r="D14" s="8"/>
    </row>
    <row r="15" spans="1:4" x14ac:dyDescent="0.25">
      <c r="A15" s="4">
        <f t="shared" si="0"/>
        <v>14</v>
      </c>
      <c r="B15" s="8">
        <v>43.81</v>
      </c>
      <c r="C15" s="8">
        <v>21.38</v>
      </c>
      <c r="D15" s="8"/>
    </row>
    <row r="16" spans="1:4" x14ac:dyDescent="0.25">
      <c r="A16" s="4">
        <f t="shared" si="0"/>
        <v>15</v>
      </c>
      <c r="B16" s="8">
        <v>15.82</v>
      </c>
      <c r="C16" s="8">
        <v>32.47</v>
      </c>
      <c r="D16" s="8"/>
    </row>
    <row r="17" spans="1:4" x14ac:dyDescent="0.25">
      <c r="A17" s="4">
        <f t="shared" si="0"/>
        <v>16</v>
      </c>
      <c r="B17" s="8">
        <v>10.33</v>
      </c>
      <c r="C17" s="8">
        <v>10.28</v>
      </c>
      <c r="D17" s="8"/>
    </row>
    <row r="18" spans="1:4" x14ac:dyDescent="0.25">
      <c r="A18" s="4">
        <f t="shared" si="0"/>
        <v>17</v>
      </c>
      <c r="B18" s="8">
        <v>74.16</v>
      </c>
      <c r="C18" s="8">
        <v>-14.74</v>
      </c>
      <c r="D18" s="8"/>
    </row>
    <row r="19" spans="1:4" x14ac:dyDescent="0.25">
      <c r="A19" s="4">
        <f t="shared" si="0"/>
        <v>18</v>
      </c>
      <c r="B19" s="8">
        <v>131.75</v>
      </c>
      <c r="C19" s="8">
        <v>34.229999999999997</v>
      </c>
      <c r="D19" s="8"/>
    </row>
    <row r="20" spans="1:4" x14ac:dyDescent="0.25">
      <c r="A20" s="4">
        <f t="shared" si="0"/>
        <v>19</v>
      </c>
      <c r="B20" s="8">
        <v>-32.299999999999997</v>
      </c>
      <c r="C20" s="8">
        <v>31.77</v>
      </c>
      <c r="D20" s="8"/>
    </row>
    <row r="21" spans="1:4" x14ac:dyDescent="0.25">
      <c r="A21" s="4">
        <f t="shared" si="0"/>
        <v>20</v>
      </c>
      <c r="B21" s="8">
        <v>-31.7</v>
      </c>
      <c r="C21" s="8">
        <v>-11.97</v>
      </c>
      <c r="D21" s="8"/>
    </row>
    <row r="22" spans="1:4" x14ac:dyDescent="0.25">
      <c r="A22" s="4">
        <f t="shared" si="0"/>
        <v>21</v>
      </c>
      <c r="B22" s="8">
        <v>-37.79</v>
      </c>
      <c r="C22" s="8">
        <v>-11.48</v>
      </c>
      <c r="D22" s="8"/>
    </row>
    <row r="23" spans="1:4" x14ac:dyDescent="0.25">
      <c r="A23" s="4">
        <f t="shared" si="0"/>
        <v>22</v>
      </c>
      <c r="B23" s="8">
        <v>59.39</v>
      </c>
      <c r="C23" s="8">
        <v>22.87</v>
      </c>
      <c r="D23" s="8"/>
    </row>
    <row r="24" spans="1:4" x14ac:dyDescent="0.25">
      <c r="A24" s="4">
        <f t="shared" si="0"/>
        <v>23</v>
      </c>
      <c r="B24" s="8">
        <v>0.43</v>
      </c>
      <c r="C24" s="8">
        <v>31.7</v>
      </c>
      <c r="D24" s="8"/>
    </row>
    <row r="25" spans="1:4" x14ac:dyDescent="0.25">
      <c r="A25" s="4">
        <f t="shared" si="0"/>
        <v>24</v>
      </c>
      <c r="B25" s="8">
        <v>4.92</v>
      </c>
      <c r="C25" s="8">
        <v>52.02</v>
      </c>
      <c r="D25" s="8"/>
    </row>
    <row r="26" spans="1:4" x14ac:dyDescent="0.25">
      <c r="A26" s="4">
        <f t="shared" si="0"/>
        <v>25</v>
      </c>
      <c r="B26" s="8">
        <v>7.51</v>
      </c>
      <c r="C26" s="8">
        <v>14.25</v>
      </c>
      <c r="D26" s="8"/>
    </row>
    <row r="27" spans="1:4" x14ac:dyDescent="0.25">
      <c r="A27" s="4">
        <f t="shared" si="0"/>
        <v>26</v>
      </c>
      <c r="B27" s="8">
        <v>19.78</v>
      </c>
      <c r="C27" s="8">
        <v>45.53</v>
      </c>
      <c r="D27" s="8"/>
    </row>
    <row r="28" spans="1:4" x14ac:dyDescent="0.25">
      <c r="A28" s="4">
        <f t="shared" si="0"/>
        <v>27</v>
      </c>
      <c r="B28" s="8">
        <v>-51.09</v>
      </c>
      <c r="C28" s="8">
        <v>-54</v>
      </c>
      <c r="D28" s="8"/>
    </row>
    <row r="29" spans="1:4" x14ac:dyDescent="0.25">
      <c r="A29" s="4">
        <f t="shared" si="0"/>
        <v>28</v>
      </c>
      <c r="B29" s="8">
        <v>90.29</v>
      </c>
      <c r="C29" s="8">
        <v>47.09</v>
      </c>
      <c r="D29" s="8"/>
    </row>
    <row r="30" spans="1:4" x14ac:dyDescent="0.25">
      <c r="A30" s="4">
        <f t="shared" si="0"/>
        <v>29</v>
      </c>
      <c r="B30" s="8">
        <v>26.69</v>
      </c>
      <c r="C30" s="8">
        <v>18.989999999999998</v>
      </c>
      <c r="D30" s="8"/>
    </row>
    <row r="31" spans="1:4" x14ac:dyDescent="0.25">
      <c r="A31" s="4">
        <f t="shared" si="0"/>
        <v>30</v>
      </c>
      <c r="B31" s="8">
        <v>-9.56</v>
      </c>
      <c r="C31" s="8">
        <v>-4.8499999999999996</v>
      </c>
      <c r="D31" s="8"/>
    </row>
    <row r="32" spans="1:4" x14ac:dyDescent="0.25">
      <c r="A32" s="4">
        <f t="shared" si="0"/>
        <v>31</v>
      </c>
      <c r="B32" s="8">
        <v>17.16</v>
      </c>
      <c r="C32" s="8">
        <v>4.6399999999999997</v>
      </c>
      <c r="D32" s="8"/>
    </row>
    <row r="33" spans="1:4" x14ac:dyDescent="0.25">
      <c r="A33" s="4">
        <f t="shared" si="0"/>
        <v>32</v>
      </c>
      <c r="B33" s="8">
        <v>31.76</v>
      </c>
      <c r="C33" s="8">
        <v>24.21</v>
      </c>
      <c r="D33" s="8"/>
    </row>
    <row r="34" spans="1:4" x14ac:dyDescent="0.25">
      <c r="A34" s="4">
        <f t="shared" si="0"/>
        <v>33</v>
      </c>
      <c r="B34" s="8">
        <v>10.65</v>
      </c>
      <c r="C34" s="8">
        <v>-12.64</v>
      </c>
      <c r="D34" s="8"/>
    </row>
    <row r="35" spans="1:4" x14ac:dyDescent="0.25">
      <c r="A35" s="4">
        <f t="shared" si="0"/>
        <v>34</v>
      </c>
      <c r="B35" s="8">
        <v>7.4</v>
      </c>
      <c r="C35" s="8">
        <v>-20.53</v>
      </c>
      <c r="D35" s="8"/>
    </row>
    <row r="36" spans="1:4" x14ac:dyDescent="0.25">
      <c r="A36" s="4">
        <f t="shared" si="0"/>
        <v>35</v>
      </c>
      <c r="B36" s="8">
        <v>11.94</v>
      </c>
      <c r="C36" s="8">
        <v>33.840000000000003</v>
      </c>
      <c r="D36" s="8"/>
    </row>
    <row r="37" spans="1:4" x14ac:dyDescent="0.25">
      <c r="A37" s="4">
        <f t="shared" si="0"/>
        <v>36</v>
      </c>
      <c r="B37" s="8">
        <v>49.86</v>
      </c>
      <c r="C37" s="8">
        <v>-2.64</v>
      </c>
      <c r="D37" s="8"/>
    </row>
    <row r="38" spans="1:4" x14ac:dyDescent="0.25">
      <c r="A38" s="4">
        <f t="shared" si="0"/>
        <v>37</v>
      </c>
      <c r="B38" s="8">
        <v>-8.7899999999999991</v>
      </c>
      <c r="C38" s="8">
        <v>-24.92</v>
      </c>
      <c r="D38" s="8"/>
    </row>
  </sheetData>
  <pageMargins left="0.7" right="0.7" top="0.75" bottom="0.75" header="0.3" footer="0.3"/>
  <headerFooter>
    <oddHeader>&amp;C&amp;"Aptos"&amp;12&amp;K0000FF General access&amp;1#_x000D_</oddHeader>
  </headerFooter>
  <drawing r:id="rId1"/>
</worksheet>
</file>

<file path=docMetadata/LabelInfo.xml><?xml version="1.0" encoding="utf-8"?>
<clbl:labelList xmlns:clbl="http://schemas.microsoft.com/office/2020/mipLabelMetadata">
  <clbl:label id="{969fc6c2-57e3-4c4e-935f-27f08787152f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Prime</vt:lpstr>
      <vt:lpstr>Franchise</vt:lpstr>
      <vt:lpstr>Spend</vt:lpstr>
      <vt:lpstr>Test_Scores </vt:lpstr>
      <vt:lpstr>Tech_Energy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m2y</dc:creator>
  <cp:lastModifiedBy>Mohammed Atef</cp:lastModifiedBy>
  <dcterms:created xsi:type="dcterms:W3CDTF">2024-10-27T16:16:07Z</dcterms:created>
  <dcterms:modified xsi:type="dcterms:W3CDTF">2026-10-29T19:27:48Z</dcterms:modified>
</cp:coreProperties>
</file>