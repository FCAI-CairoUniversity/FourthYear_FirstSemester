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W:\FCAI\FourthYear_FirstSemester\Data Analytics - DS342\Labs\Lab 3\"/>
    </mc:Choice>
  </mc:AlternateContent>
  <xr:revisionPtr revIDLastSave="0" documentId="13_ncr:1_{490A4850-22AB-4CAA-B256-33EADD1D82A8}" xr6:coauthVersionLast="47" xr6:coauthVersionMax="47" xr10:uidLastSave="{00000000-0000-0000-0000-000000000000}"/>
  <bookViews>
    <workbookView xWindow="-120" yWindow="-120" windowWidth="29040" windowHeight="15990" xr2:uid="{0514A603-0946-47BD-99CF-D67721CA9F7F}"/>
  </bookViews>
  <sheets>
    <sheet name="Location" sheetId="1" r:id="rId1"/>
    <sheet name="Dispersion" sheetId="2" r:id="rId2"/>
    <sheet name="Skewness" sheetId="3" r:id="rId3"/>
    <sheet name="Kurtosis" sheetId="4" r:id="rId4"/>
    <sheet name="Association" sheetId="5" r:id="rId5"/>
  </sheets>
  <definedNames>
    <definedName name="_xlchart.v1.0" hidden="1">Skewness!$B$2:$B$11</definedName>
    <definedName name="_xlchart.v1.1" hidden="1">Skewness!$C$2:$C$11</definedName>
    <definedName name="_xlchart.v1.2" hidden="1">Skewness!$D$2:$D$11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4" l="1"/>
  <c r="G5" i="1" l="1"/>
  <c r="G4" i="1"/>
  <c r="G3" i="1"/>
  <c r="E12" i="5"/>
  <c r="H12" i="5"/>
  <c r="K12" i="5"/>
  <c r="N12" i="5"/>
  <c r="Q12" i="5"/>
  <c r="T12" i="5"/>
  <c r="B12" i="5"/>
  <c r="C27" i="4" a="1"/>
  <c r="C27" i="4" s="1"/>
  <c r="C21" i="4" a="1"/>
  <c r="C21" i="4" s="1"/>
  <c r="C15" i="4" a="1"/>
  <c r="C15" i="4" s="1"/>
  <c r="C12" i="4"/>
  <c r="B12" i="4"/>
  <c r="D12" i="3"/>
  <c r="C12" i="3"/>
  <c r="B12" i="3"/>
  <c r="I14" i="3"/>
  <c r="I15" i="3"/>
  <c r="I16" i="3"/>
  <c r="I17" i="3"/>
  <c r="I18" i="3"/>
  <c r="I19" i="3"/>
  <c r="I20" i="3"/>
  <c r="I21" i="3"/>
  <c r="I22" i="3"/>
  <c r="I13" i="3"/>
  <c r="H14" i="3"/>
  <c r="H15" i="3"/>
  <c r="H16" i="3"/>
  <c r="H17" i="3"/>
  <c r="H18" i="3"/>
  <c r="H19" i="3"/>
  <c r="H20" i="3"/>
  <c r="H21" i="3"/>
  <c r="H22" i="3"/>
  <c r="H13" i="3"/>
  <c r="G14" i="3"/>
  <c r="G15" i="3"/>
  <c r="G16" i="3"/>
  <c r="G17" i="3"/>
  <c r="G18" i="3"/>
  <c r="G19" i="3"/>
  <c r="G20" i="3"/>
  <c r="G21" i="3"/>
  <c r="G22" i="3"/>
  <c r="G13" i="3"/>
  <c r="L13" i="2"/>
  <c r="L14" i="2" s="1"/>
  <c r="L12" i="2"/>
  <c r="L11" i="2"/>
  <c r="K13" i="2"/>
  <c r="K12" i="2"/>
  <c r="K11" i="2"/>
  <c r="F10" i="2"/>
  <c r="F9" i="2"/>
  <c r="C15" i="2"/>
  <c r="C14" i="2"/>
  <c r="B15" i="2"/>
  <c r="B14" i="2"/>
  <c r="F7" i="2"/>
  <c r="G3" i="2" s="1"/>
  <c r="H3" i="2" s="1"/>
  <c r="C13" i="2"/>
  <c r="C12" i="2"/>
  <c r="B13" i="2"/>
  <c r="B12" i="2"/>
  <c r="I2" i="1"/>
  <c r="G2" i="1"/>
  <c r="H3" i="1"/>
  <c r="H2" i="1"/>
  <c r="K14" i="2" l="1"/>
  <c r="G2" i="2"/>
  <c r="G6" i="2"/>
  <c r="H6" i="2" s="1"/>
  <c r="G5" i="2"/>
  <c r="H5" i="2" s="1"/>
  <c r="G4" i="2"/>
  <c r="H4" i="2" s="1"/>
  <c r="G7" i="2" l="1"/>
  <c r="H2" i="2"/>
  <c r="H7" i="2" s="1"/>
  <c r="H9" i="2" s="1"/>
  <c r="H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<sst xmlns="http://schemas.openxmlformats.org/spreadsheetml/2006/main" count="110" uniqueCount="76">
  <si>
    <t>Data</t>
  </si>
  <si>
    <t>Sorted Data</t>
  </si>
  <si>
    <t>Min</t>
  </si>
  <si>
    <t>Max</t>
  </si>
  <si>
    <t>Q1</t>
  </si>
  <si>
    <t>Q2</t>
  </si>
  <si>
    <t>Q3</t>
  </si>
  <si>
    <t xml:space="preserve">Range </t>
  </si>
  <si>
    <t>IQR</t>
  </si>
  <si>
    <t>8am</t>
  </si>
  <si>
    <t>9am</t>
  </si>
  <si>
    <t>10am</t>
  </si>
  <si>
    <t>11am</t>
  </si>
  <si>
    <t>12pm</t>
  </si>
  <si>
    <t>1pm</t>
  </si>
  <si>
    <t>2pm</t>
  </si>
  <si>
    <t>3pm</t>
  </si>
  <si>
    <t>4pm</t>
  </si>
  <si>
    <t>5pm</t>
  </si>
  <si>
    <t>Data1 (Waiting time)</t>
  </si>
  <si>
    <t>Data2</t>
  </si>
  <si>
    <t>Mean</t>
  </si>
  <si>
    <t>x-mean</t>
  </si>
  <si>
    <t>(x-mean)^2</t>
  </si>
  <si>
    <t>Variance</t>
  </si>
  <si>
    <t>Std Dev</t>
  </si>
  <si>
    <t>Var</t>
  </si>
  <si>
    <t>or</t>
  </si>
  <si>
    <t>Sales USA ($)</t>
  </si>
  <si>
    <t>Sales India (Rupee)</t>
  </si>
  <si>
    <t>Honda</t>
  </si>
  <si>
    <t>Kia</t>
  </si>
  <si>
    <t>Ford</t>
  </si>
  <si>
    <t>Jaguar</t>
  </si>
  <si>
    <t>Fiat</t>
  </si>
  <si>
    <t>MG</t>
  </si>
  <si>
    <t>VW</t>
  </si>
  <si>
    <t>Hyndai</t>
  </si>
  <si>
    <t>CV</t>
  </si>
  <si>
    <t>Course Grades 1</t>
  </si>
  <si>
    <t>Course Grades 2</t>
  </si>
  <si>
    <t>Course Grades 3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</si>
  <si>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</si>
  <si>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</si>
  <si>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</si>
  <si>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</si>
  <si>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</si>
  <si>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</si>
  <si>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</si>
  <si>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</si>
  <si>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</si>
  <si>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</si>
  <si>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*For skewness values between -0.5 and 0.5, the data exhibit approximate symmetry.</t>
  </si>
  <si>
    <t>*Skewness values within the range of -1 and -0.5 (negative skewed) or 0.5 and 1(positive skewed) indicate slightly skewed data distributions.</t>
  </si>
  <si>
    <t>*Data with skewness values less than -1 (negative skewed) or greater than 1 (positive skewed) are considered highly skewed.</t>
  </si>
  <si>
    <t>*Positive kurtosis indicates heavier tails and a more peaked distribution, while negative kurtosis suggests lighter tails and a flatter distribution.</t>
  </si>
  <si>
    <t>*The measure of Kurtosis refers to the tailedness of a distribution.</t>
  </si>
  <si>
    <t xml:space="preserve">*The positive kurtosis set is more peaked with most values close together, while the negative kurtosis set is flatter and more spread out. </t>
  </si>
  <si>
    <t>more</t>
  </si>
  <si>
    <t>other</t>
  </si>
  <si>
    <t xml:space="preserve">X  </t>
  </si>
  <si>
    <t xml:space="preserve">Y  </t>
  </si>
  <si>
    <t>X</t>
  </si>
  <si>
    <t>Y</t>
  </si>
  <si>
    <t>r</t>
  </si>
  <si>
    <t>Perfect Positive</t>
  </si>
  <si>
    <t>Perfect Negative</t>
  </si>
  <si>
    <t>Strong Positive</t>
  </si>
  <si>
    <t>Strong Negative</t>
  </si>
  <si>
    <t>Weak Positive</t>
  </si>
  <si>
    <t>Weak Negative</t>
  </si>
  <si>
    <t>No Correlation</t>
  </si>
  <si>
    <t>*Correlation coefficients whose magnitude are between 0.7 and 0.9 indicate variables which can be considered highly correlated.</t>
  </si>
  <si>
    <r>
      <t>*Correlation coefficients whose magnitude are between 0.9 and 1.0 indicate variables which can be considered </t>
    </r>
    <r>
      <rPr>
        <sz val="11"/>
        <color rgb="FF000000"/>
        <rFont val="Times New Roman"/>
        <family val="1"/>
      </rPr>
      <t>very highly correlated. </t>
    </r>
  </si>
  <si>
    <t>*Correlation coefficients whose magnitude are between 0.5 and 0.7 indicate variables which can be considered moderately correlated. </t>
  </si>
  <si>
    <t>*Correlation coefficients whose magnitude are between 0.3 and 0.5 indicate variables which have a low correlation.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</si>
</sst>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Skewness!$G$13:$G$22</c:f>
              <c:numCache>
                <c:formatCode>General</c:formatCode>
                <c:ptCount val="10"/>
                <c:pt idx="0">
                  <c:v>5.4128078507442799E-2</c:v>
                </c:pt>
                <c:pt idx="1">
                  <c:v>7.3040768171732329E-2</c:v>
                </c:pt>
                <c:pt idx="2">
                  <c:v>0.13576090341598934</c:v>
                </c:pt>
                <c:pt idx="3">
                  <c:v>0.17236945465112943</c:v>
                </c:pt>
                <c:pt idx="4">
                  <c:v>0.18094164557685058</c:v>
                </c:pt>
                <c:pt idx="5">
                  <c:v>0.17541034924449489</c:v>
                </c:pt>
                <c:pt idx="6">
                  <c:v>0.17194063736108289</c:v>
                </c:pt>
                <c:pt idx="7">
                  <c:v>0.12696522822491374</c:v>
                </c:pt>
                <c:pt idx="8">
                  <c:v>9.8420632114279247E-2</c:v>
                </c:pt>
                <c:pt idx="9">
                  <c:v>5.0876345502922624E-2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5B-45B7-9F78-D434FF243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924672"/>
        <c:axId val="205916512"/>
      </c:scatterChart>
      <c:valAx>
        <c:axId val="20592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16512"/>
        <c:crosses val="autoZero"/>
        <c:crossBetween val="midCat"/>
      </c:valAx>
      <c:valAx>
        <c:axId val="20591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2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Skewness!$H$13:$H$22</c:f>
              <c:numCache>
                <c:formatCode>General</c:formatCode>
                <c:ptCount val="10"/>
                <c:pt idx="0">
                  <c:v>2.9375187347109831E-2</c:v>
                </c:pt>
                <c:pt idx="1">
                  <c:v>3.5990673962782098E-2</c:v>
                </c:pt>
                <c:pt idx="2">
                  <c:v>3.9052978671845533E-2</c:v>
                </c:pt>
                <c:pt idx="3">
                  <c:v>4.976177717410301E-2</c:v>
                </c:pt>
                <c:pt idx="4">
                  <c:v>5.2040375276449377E-2</c:v>
                </c:pt>
                <c:pt idx="5">
                  <c:v>5.7448731021939516E-2</c:v>
                </c:pt>
                <c:pt idx="6">
                  <c:v>5.6568930357665609E-2</c:v>
                </c:pt>
                <c:pt idx="7">
                  <c:v>4.7397704933314591E-2</c:v>
                </c:pt>
                <c:pt idx="8">
                  <c:v>2.5181152347535155E-2</c:v>
                </c:pt>
                <c:pt idx="9">
                  <c:v>7.1035068170210228E-3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A8-4A7D-ACC9-385EA2CAF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104240"/>
        <c:axId val="322120560"/>
      </c:scatterChart>
      <c:valAx>
        <c:axId val="32210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120560"/>
        <c:crosses val="autoZero"/>
        <c:crossBetween val="midCat"/>
      </c:valAx>
      <c:valAx>
        <c:axId val="32212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10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Skewness!$I$13:$I$22</c:f>
              <c:numCache>
                <c:formatCode>General</c:formatCode>
                <c:ptCount val="10"/>
                <c:pt idx="0">
                  <c:v>1.0936847535647663E-2</c:v>
                </c:pt>
                <c:pt idx="1">
                  <c:v>2.4099686804278927E-2</c:v>
                </c:pt>
                <c:pt idx="2">
                  <c:v>6.2173885885801437E-2</c:v>
                </c:pt>
                <c:pt idx="3">
                  <c:v>7.2792290333944562E-2</c:v>
                </c:pt>
                <c:pt idx="4">
                  <c:v>7.2315119597356647E-2</c:v>
                </c:pt>
                <c:pt idx="5">
                  <c:v>6.6591041769884313E-2</c:v>
                </c:pt>
                <c:pt idx="6">
                  <c:v>6.3702174804572728E-2</c:v>
                </c:pt>
                <c:pt idx="7">
                  <c:v>5.5333230039565411E-2</c:v>
                </c:pt>
                <c:pt idx="8">
                  <c:v>4.4969508134991051E-2</c:v>
                </c:pt>
                <c:pt idx="9">
                  <c:v>3.2978717708028842E-2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55-4047-B34D-53949B94E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104720"/>
        <c:axId val="322118160"/>
      </c:scatterChart>
      <c:valAx>
        <c:axId val="32210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118160"/>
        <c:crosses val="autoZero"/>
        <c:crossBetween val="midCat"/>
      </c:valAx>
      <c:valAx>
        <c:axId val="32211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10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Kurtosis!$B$14:$B$31</c:f>
              <c:strCache>
                <c:ptCount val="18"/>
                <c:pt idx="0">
                  <c:v>0</c:v>
                </c:pt>
                <c:pt idx="1">
                  <c:v>9</c:v>
                </c:pt>
                <c:pt idx="2">
                  <c:v>11</c:v>
                </c:pt>
                <c:pt idx="3">
                  <c:v>13</c:v>
                </c:pt>
                <c:pt idx="4">
                  <c:v>more</c:v>
                </c:pt>
                <c:pt idx="6">
                  <c:v>0</c:v>
                </c:pt>
                <c:pt idx="7">
                  <c:v>1</c:v>
                </c:pt>
                <c:pt idx="8">
                  <c:v>6</c:v>
                </c:pt>
                <c:pt idx="9">
                  <c:v>16</c:v>
                </c:pt>
                <c:pt idx="10">
                  <c:v>more</c:v>
                </c:pt>
                <c:pt idx="12">
                  <c:v>0</c:v>
                </c:pt>
                <c:pt idx="13">
                  <c:v>10</c:v>
                </c:pt>
                <c:pt idx="14">
                  <c:v>50</c:v>
                </c:pt>
                <c:pt idx="15">
                  <c:v>100</c:v>
                </c:pt>
                <c:pt idx="17">
                  <c:v>other</c:v>
                </c:pt>
              </c:strCache>
            </c:strRef>
          </c:xVal>
          <c:yVal>
            <c:numRef>
              <c:f>Kurtosis!$C$14:$C$31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7</c:v>
                </c:pt>
                <c:pt idx="9">
                  <c:v>2</c:v>
                </c:pt>
                <c:pt idx="10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23-415B-BAB6-EA79BE7A0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237440"/>
        <c:axId val="349245600"/>
      </c:scatterChart>
      <c:valAx>
        <c:axId val="34923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45600"/>
        <c:crosses val="autoZero"/>
        <c:crossBetween val="midCat"/>
      </c:valAx>
      <c:valAx>
        <c:axId val="34924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3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Association!$A$2:$A$11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Association!$B$2:$B$11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3C-4C0F-9DF1-7D5F033CD97B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Association!$D$2:$D$12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Association!$E$2:$E$11</c:f>
              <c:numCache>
                <c:formatCode>General</c:formatCode>
                <c:ptCount val="1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D3C-4C0F-9DF1-7D5F033CD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251360"/>
        <c:axId val="349240800"/>
      </c:scatterChart>
      <c:valAx>
        <c:axId val="34925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40800"/>
        <c:crosses val="autoZero"/>
        <c:crossBetween val="midCat"/>
      </c:valAx>
      <c:valAx>
        <c:axId val="34924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5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Association!$H$1</c:f>
              <c:strCache>
                <c:ptCount val="1"/>
                <c:pt idx="0">
                  <c:v>Y 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Association!$G$2:$G$11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Association!$H$2:$H$11</c:f>
              <c:numCache>
                <c:formatCode>General</c:formatCode>
                <c:ptCount val="10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3.8</c:v>
                </c:pt>
                <c:pt idx="4">
                  <c:v>4.5</c:v>
                </c:pt>
                <c:pt idx="5">
                  <c:v>6</c:v>
                </c:pt>
                <c:pt idx="6">
                  <c:v>7.1</c:v>
                </c:pt>
                <c:pt idx="7">
                  <c:v>8</c:v>
                </c:pt>
                <c:pt idx="8">
                  <c:v>9.5</c:v>
                </c:pt>
                <c:pt idx="9">
                  <c:v>10.5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91-4956-8E66-E3DC8E513F36}"/>
            </c:ext>
          </c:extLst>
        </c:ser>
        <c:ser>
          <c:idx val="2"/>
          <c:order val="1"/>
          <c:tx>
            <c:strRef>
              <c:f>Association!$K$1</c:f>
              <c:strCache>
                <c:ptCount val="1"/>
                <c:pt idx="0">
                  <c:v>Y 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Association!$J$2:$J$11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Association!$K$2:$K$11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0.5</c:v>
                </c:pt>
                <c:pt idx="8">
                  <c:v>4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291-4956-8E66-E3DC8E513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261920"/>
        <c:axId val="349262400"/>
      </c:scatterChart>
      <c:valAx>
        <c:axId val="34926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62400"/>
        <c:crosses val="autoZero"/>
        <c:crossBetween val="midCat"/>
      </c:valAx>
      <c:valAx>
        <c:axId val="34926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6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Association!$N$1</c:f>
              <c:strCache>
                <c:ptCount val="1"/>
                <c:pt idx="0">
                  <c:v>Y 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Association!$M$2:$M$11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Association!$N$2:$N$11</c:f>
              <c:numCache>
                <c:formatCode>General</c:formatCode>
                <c:ptCount val="10"/>
                <c:pt idx="0">
                  <c:v>6</c:v>
                </c:pt>
                <c:pt idx="1">
                  <c:v>5.5</c:v>
                </c:pt>
                <c:pt idx="2">
                  <c:v>5</c:v>
                </c:pt>
                <c:pt idx="3">
                  <c:v>4.8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  <c:pt idx="8">
                  <c:v>5.5</c:v>
                </c:pt>
                <c:pt idx="9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A1-4281-8A01-02D025F250E5}"/>
            </c:ext>
          </c:extLst>
        </c:ser>
        <c:ser>
          <c:idx val="2"/>
          <c:order val="1"/>
          <c:tx>
            <c:strRef>
              <c:f>Association!$Q$1</c:f>
              <c:strCache>
                <c:ptCount val="1"/>
                <c:pt idx="0">
                  <c:v>Y 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Association!$P$2:$P$11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Association!$Q$2:$Q$11</c:f>
              <c:numCache>
                <c:formatCode>General</c:formatCode>
                <c:ptCount val="10"/>
                <c:pt idx="0">
                  <c:v>7</c:v>
                </c:pt>
                <c:pt idx="1">
                  <c:v>1</c:v>
                </c:pt>
                <c:pt idx="2">
                  <c:v>3.5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2.5</c:v>
                </c:pt>
                <c:pt idx="9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A1-4281-8A01-02D025F25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108560"/>
        <c:axId val="322119600"/>
      </c:scatterChart>
      <c:valAx>
        <c:axId val="32210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119600"/>
        <c:crosses val="autoZero"/>
        <c:crossBetween val="midCat"/>
      </c:valAx>
      <c:valAx>
        <c:axId val="32211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108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Corr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Association!$T$1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Association!$S$2:$S$11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Association!$T$2:$T$11</c:f>
              <c:numCache>
                <c:formatCode>General</c:formatCode>
                <c:ptCount val="10"/>
                <c:pt idx="0">
                  <c:v>6</c:v>
                </c:pt>
                <c:pt idx="1">
                  <c:v>5.5</c:v>
                </c:pt>
                <c:pt idx="2">
                  <c:v>5</c:v>
                </c:pt>
                <c:pt idx="3">
                  <c:v>4.8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  <c:pt idx="8">
                  <c:v>5.5</c:v>
                </c:pt>
                <c:pt idx="9">
                  <c:v>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1C-410F-A9D5-86FDA5D76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128240"/>
        <c:axId val="205928992"/>
      </c:scatterChart>
      <c:valAx>
        <c:axId val="32212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28992"/>
        <c:crosses val="autoZero"/>
        <c:crossBetween val="midCat"/>
      </c:valAx>
      <c:valAx>
        <c:axId val="20592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12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98E9657B-E3BE-4E3B-9403-B2B74143266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CCF3C7CF-D98F-4591-B94E-7EE73B03185D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863F63B9-60FC-41C2-B340-824AC4FAF0F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133350</xdr:rowOff>
    </xdr:from>
    <xdr:to>
      <xdr:col>3</xdr:col>
      <xdr:colOff>949325</xdr:colOff>
      <xdr:row>27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50BF8E6-B901-C770-D1F9-9BB3CF1DC2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19350"/>
              <a:ext cx="3482975" cy="2838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27</xdr:row>
      <xdr:rowOff>88900</xdr:rowOff>
    </xdr:from>
    <xdr:to>
      <xdr:col>5</xdr:col>
      <xdr:colOff>311150</xdr:colOff>
      <xdr:row>42</xdr:row>
      <xdr:rowOff>69850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CEB6BEDC-06B5-1151-FB6F-F81D335C63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232400"/>
              <a:ext cx="4406900" cy="2838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42</xdr:row>
      <xdr:rowOff>158750</xdr:rowOff>
    </xdr:from>
    <xdr:to>
      <xdr:col>5</xdr:col>
      <xdr:colOff>311150</xdr:colOff>
      <xdr:row>57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A99A1532-FABF-831B-CD41-BBC7EB6A71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159750"/>
              <a:ext cx="4406900" cy="2838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606425</xdr:colOff>
      <xdr:row>5</xdr:row>
      <xdr:rowOff>0</xdr:rowOff>
    </xdr:from>
    <xdr:to>
      <xdr:col>17</xdr:col>
      <xdr:colOff>168275</xdr:colOff>
      <xdr:row>19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4D5699E-A856-92ED-A656-A66E1C5DF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596900</xdr:colOff>
      <xdr:row>34</xdr:row>
      <xdr:rowOff>180975</xdr:rowOff>
    </xdr:from>
    <xdr:to>
      <xdr:col>17</xdr:col>
      <xdr:colOff>158750</xdr:colOff>
      <xdr:row>49</xdr:row>
      <xdr:rowOff>161925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3E7596F-B5DE-CCFA-498F-44B1CD547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606425</xdr:colOff>
      <xdr:row>20</xdr:row>
      <xdr:rowOff>6350</xdr:rowOff>
    </xdr:from>
    <xdr:to>
      <xdr:col>17</xdr:col>
      <xdr:colOff>257175</xdr:colOff>
      <xdr:row>34</xdr:row>
      <xdr:rowOff>177800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71EB069-BA1D-8AC6-138B-8B70BCA8D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596900</xdr:colOff>
      <xdr:row>12</xdr:row>
      <xdr:rowOff>177800</xdr:rowOff>
    </xdr:from>
    <xdr:to>
      <xdr:col>12</xdr:col>
      <xdr:colOff>247650</xdr:colOff>
      <xdr:row>27</xdr:row>
      <xdr:rowOff>158750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4CB1936-BFE4-2E48-17BA-CC52EC975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139700</xdr:rowOff>
    </xdr:from>
    <xdr:to>
      <xdr:col>7</xdr:col>
      <xdr:colOff>349250</xdr:colOff>
      <xdr:row>28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E18599-DB99-3ED0-3191-31F771A7C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361950</xdr:colOff>
      <xdr:row>13</xdr:row>
      <xdr:rowOff>152400</xdr:rowOff>
    </xdr:from>
    <xdr:to>
      <xdr:col>15</xdr:col>
      <xdr:colOff>107950</xdr:colOff>
      <xdr:row>28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6DDCF8-601B-298B-27E7-5D95B7525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92075</xdr:colOff>
      <xdr:row>13</xdr:row>
      <xdr:rowOff>142875</xdr:rowOff>
    </xdr:from>
    <xdr:to>
      <xdr:col>22</xdr:col>
      <xdr:colOff>409575</xdr:colOff>
      <xdr:row>28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72341E5-8A46-6D76-5FBA-B81D2F95D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419100</xdr:colOff>
      <xdr:row>13</xdr:row>
      <xdr:rowOff>136525</xdr:rowOff>
    </xdr:from>
    <xdr:to>
      <xdr:col>30</xdr:col>
      <xdr:colOff>196850</xdr:colOff>
      <xdr:row>28</xdr:row>
      <xdr:rowOff>117475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1E6E3F9-350C-657A-3DA3-FF8A690FF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BA3E-89DA-4E9A-8177-9086A05C534A}">
  <dimension ref="A1:J9"/>
  <sheetViews>
    <sheetView tabSelected="1" workbookViewId="0">
      <selection activeCell="J2" sqref="J2"/>
    </sheetView>
  </sheetViews>
  <sheetFormatPr defaultRowHeight="15" x14ac:dyDescent="0.25"/>
  <cols>
    <col min="2" max="3" width="10.5703125" bestFit="1" customWidth="1"/>
    <col min="4" max="4" width="10.5703125" customWidth="1"/>
    <col min="5" max="5" width="10.42578125" customWidth="1"/>
  </cols>
  <sheetData>
    <row r="1" spans="1:10" s="4" customFormat="1" x14ac:dyDescent="0.25">
      <c r="A1" s="4" t="s">
        <v>0</v>
      </c>
      <c r="B1" s="4" t="s">
        <v>1</v>
      </c>
      <c r="C1" s="4" t="s">
        <v>1</v>
      </c>
      <c r="D1" s="4" t="s">
        <v>1</v>
      </c>
      <c r="F1" s="4" t="s">
        <v>2</v>
      </c>
      <c r="G1" s="4" t="s">
        <v>4</v>
      </c>
      <c r="H1" s="4" t="s">
        <v>5</v>
      </c>
      <c r="I1" s="4" t="s">
        <v>6</v>
      </c>
      <c r="J1" s="4" t="s">
        <v>3</v>
      </c>
    </row>
    <row r="2" spans="1:10" x14ac:dyDescent="0.25">
      <c r="A2">
        <v>12</v>
      </c>
      <c r="B2" s="1">
        <v>1</v>
      </c>
      <c r="C2" s="5">
        <v>1</v>
      </c>
      <c r="D2" s="6">
        <v>1</v>
      </c>
      <c r="F2">
        <v>1</v>
      </c>
      <c r="G2" s="5">
        <f>_xlfn.PERCENTILE.INC($C$2:$C$9,0.25)</f>
        <v>18</v>
      </c>
      <c r="H2" s="1">
        <f>MEDIAN(B2:B9)</f>
        <v>45</v>
      </c>
      <c r="I2" s="6">
        <f>_xlfn.PERCENTILE.INC($C$2:$C$9,0.75)</f>
        <v>82</v>
      </c>
      <c r="J2">
        <v>120</v>
      </c>
    </row>
    <row r="3" spans="1:10" x14ac:dyDescent="0.25">
      <c r="A3">
        <v>20</v>
      </c>
      <c r="B3" s="1">
        <v>12</v>
      </c>
      <c r="C3" s="5">
        <v>12</v>
      </c>
      <c r="D3" s="6">
        <v>12</v>
      </c>
      <c r="G3" s="11">
        <f>0.25*(8-1)+1</f>
        <v>2.75</v>
      </c>
      <c r="H3" s="2">
        <f>(B5+B6)/2</f>
        <v>45</v>
      </c>
    </row>
    <row r="4" spans="1:10" x14ac:dyDescent="0.25">
      <c r="A4">
        <v>100</v>
      </c>
      <c r="B4" s="1">
        <v>20</v>
      </c>
      <c r="C4">
        <v>20</v>
      </c>
      <c r="D4" s="6">
        <v>20</v>
      </c>
      <c r="G4" s="11">
        <f>(B3+B4)/2</f>
        <v>16</v>
      </c>
    </row>
    <row r="5" spans="1:10" x14ac:dyDescent="0.25">
      <c r="A5">
        <v>55</v>
      </c>
      <c r="B5" s="1">
        <v>35</v>
      </c>
      <c r="C5">
        <v>35</v>
      </c>
      <c r="D5" s="6">
        <v>35</v>
      </c>
      <c r="G5" s="11">
        <f>(G4+B4)/2</f>
        <v>18</v>
      </c>
    </row>
    <row r="6" spans="1:10" x14ac:dyDescent="0.25">
      <c r="A6">
        <v>1</v>
      </c>
      <c r="B6" s="2">
        <v>55</v>
      </c>
      <c r="C6">
        <v>55</v>
      </c>
      <c r="D6" s="6">
        <v>55</v>
      </c>
    </row>
    <row r="7" spans="1:10" x14ac:dyDescent="0.25">
      <c r="A7">
        <v>76</v>
      </c>
      <c r="B7" s="2">
        <v>76</v>
      </c>
      <c r="C7">
        <v>76</v>
      </c>
      <c r="D7" s="6">
        <v>76</v>
      </c>
    </row>
    <row r="8" spans="1:10" x14ac:dyDescent="0.25">
      <c r="A8">
        <v>120</v>
      </c>
      <c r="B8" s="2">
        <v>100</v>
      </c>
      <c r="C8">
        <v>100</v>
      </c>
      <c r="D8">
        <v>100</v>
      </c>
    </row>
    <row r="9" spans="1:10" x14ac:dyDescent="0.25">
      <c r="A9">
        <v>35</v>
      </c>
      <c r="B9" s="2">
        <v>120</v>
      </c>
      <c r="C9">
        <v>120</v>
      </c>
      <c r="D9">
        <v>120</v>
      </c>
    </row>
  </sheetData>
  <sortState xmlns:xlrd2="http://schemas.microsoft.com/office/spreadsheetml/2017/richdata2" ref="B2:B9">
    <sortCondition ref="B2:B9"/>
  </sortState>
  <pageMargins left="0.7" right="0.7" top="0.75" bottom="0.75" header="0.3" footer="0.3"/>
  <headerFooter>
    <oddHeader>&amp;C&amp;"Aptos"&amp;12&amp;K0000FF General access&amp;1#_x000D_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1967-1026-4DC2-8794-7A464754D1FA}">
  <dimension ref="A1:L15"/>
  <sheetViews>
    <sheetView workbookViewId="0">
      <selection activeCell="C2" sqref="C2:C11"/>
    </sheetView>
  </sheetViews>
  <sheetFormatPr defaultColWidth="8.7109375" defaultRowHeight="15" x14ac:dyDescent="0.25"/>
  <cols>
    <col min="1" max="7" width="8.7109375" style="8"/>
    <col min="8" max="8" width="10.140625" style="8" bestFit="1" customWidth="1"/>
    <col min="9" max="10" width="8.7109375" style="8"/>
    <col min="11" max="11" width="11.5703125" style="8" bestFit="1" customWidth="1"/>
    <col min="12" max="12" width="16.28515625" style="8" bestFit="1" customWidth="1"/>
    <col min="13" max="16384" width="8.7109375" style="8"/>
  </cols>
  <sheetData>
    <row r="1" spans="1:12" x14ac:dyDescent="0.25">
      <c r="B1" s="12" t="s">
        <v>19</v>
      </c>
      <c r="C1" s="12"/>
      <c r="F1" s="8" t="s">
        <v>20</v>
      </c>
      <c r="G1" s="8" t="s">
        <v>22</v>
      </c>
      <c r="H1" s="8" t="s">
        <v>23</v>
      </c>
      <c r="K1" s="8" t="s">
        <v>28</v>
      </c>
      <c r="L1" s="8" t="s">
        <v>29</v>
      </c>
    </row>
    <row r="2" spans="1:12" x14ac:dyDescent="0.25">
      <c r="A2" s="8" t="s">
        <v>9</v>
      </c>
      <c r="B2" s="8">
        <v>1</v>
      </c>
      <c r="C2" s="8">
        <v>1</v>
      </c>
      <c r="F2" s="8">
        <v>2</v>
      </c>
      <c r="G2" s="8">
        <f>F2-$F$7</f>
        <v>-4.8</v>
      </c>
      <c r="H2" s="8">
        <f>G2^2</f>
        <v>23.04</v>
      </c>
      <c r="J2" s="8" t="s">
        <v>30</v>
      </c>
      <c r="K2" s="8">
        <v>45</v>
      </c>
      <c r="L2" s="8">
        <v>41000</v>
      </c>
    </row>
    <row r="3" spans="1:12" x14ac:dyDescent="0.25">
      <c r="A3" s="8" t="s">
        <v>10</v>
      </c>
      <c r="B3" s="8">
        <v>2</v>
      </c>
      <c r="C3" s="8">
        <v>2</v>
      </c>
      <c r="F3" s="8">
        <v>3</v>
      </c>
      <c r="G3" s="8">
        <f>F3-$F$7</f>
        <v>-3.8</v>
      </c>
      <c r="H3" s="8">
        <f t="shared" ref="H3:H6" si="0">G3^2</f>
        <v>14.44</v>
      </c>
      <c r="J3" s="8" t="s">
        <v>31</v>
      </c>
      <c r="K3" s="8">
        <v>77</v>
      </c>
      <c r="L3" s="8">
        <v>73000</v>
      </c>
    </row>
    <row r="4" spans="1:12" x14ac:dyDescent="0.25">
      <c r="A4" s="8" t="s">
        <v>11</v>
      </c>
      <c r="B4" s="9">
        <v>3</v>
      </c>
      <c r="C4" s="8">
        <v>3</v>
      </c>
      <c r="F4" s="8">
        <v>4</v>
      </c>
      <c r="G4" s="8">
        <f>F4-$F$7</f>
        <v>-2.8</v>
      </c>
      <c r="H4" s="8">
        <f t="shared" si="0"/>
        <v>7.839999999999999</v>
      </c>
      <c r="J4" s="8" t="s">
        <v>32</v>
      </c>
      <c r="K4" s="8">
        <v>19</v>
      </c>
      <c r="L4" s="8">
        <v>15000</v>
      </c>
    </row>
    <row r="5" spans="1:12" x14ac:dyDescent="0.25">
      <c r="A5" s="8" t="s">
        <v>12</v>
      </c>
      <c r="B5" s="8">
        <v>4</v>
      </c>
      <c r="C5" s="8">
        <v>4</v>
      </c>
      <c r="F5" s="8">
        <v>9</v>
      </c>
      <c r="G5" s="8">
        <f>F5-$F$7</f>
        <v>2.2000000000000002</v>
      </c>
      <c r="H5" s="8">
        <f t="shared" si="0"/>
        <v>4.8400000000000007</v>
      </c>
      <c r="J5" s="8" t="s">
        <v>33</v>
      </c>
      <c r="K5" s="8">
        <v>12</v>
      </c>
      <c r="L5" s="8">
        <v>8000</v>
      </c>
    </row>
    <row r="6" spans="1:12" x14ac:dyDescent="0.25">
      <c r="A6" s="8" t="s">
        <v>13</v>
      </c>
      <c r="B6" s="8">
        <v>5</v>
      </c>
      <c r="C6" s="8">
        <v>5</v>
      </c>
      <c r="F6" s="8">
        <v>16</v>
      </c>
      <c r="G6" s="8">
        <f>F6-$F$7</f>
        <v>9.1999999999999993</v>
      </c>
      <c r="H6" s="8">
        <f t="shared" si="0"/>
        <v>84.639999999999986</v>
      </c>
      <c r="J6" s="8" t="s">
        <v>34</v>
      </c>
      <c r="K6" s="8">
        <v>24</v>
      </c>
      <c r="L6" s="8">
        <v>20000</v>
      </c>
    </row>
    <row r="7" spans="1:12" x14ac:dyDescent="0.25">
      <c r="A7" s="8" t="s">
        <v>14</v>
      </c>
      <c r="B7" s="8">
        <v>6</v>
      </c>
      <c r="C7" s="8">
        <v>6</v>
      </c>
      <c r="E7" s="4" t="s">
        <v>21</v>
      </c>
      <c r="F7" s="4">
        <f>AVERAGE(F2:F6)</f>
        <v>6.8</v>
      </c>
      <c r="G7" s="4">
        <f>SUM(G2:G6)</f>
        <v>0</v>
      </c>
      <c r="H7" s="4">
        <f>SUM(H2:H6)</f>
        <v>134.79999999999998</v>
      </c>
      <c r="J7" s="8" t="s">
        <v>35</v>
      </c>
      <c r="K7" s="8">
        <v>50</v>
      </c>
      <c r="L7" s="8">
        <v>46000</v>
      </c>
    </row>
    <row r="8" spans="1:12" x14ac:dyDescent="0.25">
      <c r="A8" s="8" t="s">
        <v>15</v>
      </c>
      <c r="B8" s="10">
        <v>7</v>
      </c>
      <c r="C8" s="8">
        <v>7</v>
      </c>
      <c r="G8" s="4"/>
      <c r="H8" s="4"/>
      <c r="J8" s="8" t="s">
        <v>36</v>
      </c>
      <c r="K8" s="8">
        <v>33</v>
      </c>
      <c r="L8" s="8">
        <v>29000</v>
      </c>
    </row>
    <row r="9" spans="1:12" x14ac:dyDescent="0.25">
      <c r="A9" s="8" t="s">
        <v>16</v>
      </c>
      <c r="B9" s="8">
        <v>8</v>
      </c>
      <c r="C9" s="8">
        <v>8</v>
      </c>
      <c r="E9" s="4" t="s">
        <v>26</v>
      </c>
      <c r="F9" s="4">
        <f>_xlfn.VAR.S(F2:F6)</f>
        <v>33.700000000000003</v>
      </c>
      <c r="G9" s="8" t="s">
        <v>27</v>
      </c>
      <c r="H9" s="4">
        <f>H7/(COUNT(F2:F6)-1)</f>
        <v>33.699999999999996</v>
      </c>
      <c r="J9" s="8" t="s">
        <v>37</v>
      </c>
      <c r="K9" s="8">
        <v>80</v>
      </c>
      <c r="L9" s="8">
        <v>64000</v>
      </c>
    </row>
    <row r="10" spans="1:12" x14ac:dyDescent="0.25">
      <c r="A10" s="8" t="s">
        <v>17</v>
      </c>
      <c r="B10" s="8">
        <v>9</v>
      </c>
      <c r="C10" s="8">
        <v>9</v>
      </c>
      <c r="E10" s="4" t="s">
        <v>25</v>
      </c>
      <c r="F10" s="4">
        <f>_xlfn.STDEV.S(F2:F6)</f>
        <v>5.805170109479997</v>
      </c>
      <c r="G10" s="8" t="s">
        <v>27</v>
      </c>
      <c r="H10" s="4">
        <f>SQRT(H9)</f>
        <v>5.805170109479997</v>
      </c>
    </row>
    <row r="11" spans="1:12" x14ac:dyDescent="0.25">
      <c r="A11" s="8" t="s">
        <v>18</v>
      </c>
      <c r="C11" s="8">
        <v>20</v>
      </c>
      <c r="J11" s="4" t="s">
        <v>21</v>
      </c>
      <c r="K11" s="4">
        <f>AVERAGE(K2:K9)</f>
        <v>42.5</v>
      </c>
      <c r="L11" s="4">
        <f>AVERAGE(L2:L9)</f>
        <v>37000</v>
      </c>
    </row>
    <row r="12" spans="1:12" x14ac:dyDescent="0.25">
      <c r="A12" s="4" t="s">
        <v>7</v>
      </c>
      <c r="B12" s="4">
        <f>B10-B2</f>
        <v>8</v>
      </c>
      <c r="C12" s="4">
        <f>C11-C2</f>
        <v>19</v>
      </c>
      <c r="J12" s="4" t="s">
        <v>26</v>
      </c>
      <c r="K12" s="4">
        <f>_xlfn.VAR.S(K2:K9)</f>
        <v>653.42857142857144</v>
      </c>
      <c r="L12" s="4">
        <f>_xlfn.VAR.S(L2:L9)</f>
        <v>542857142.85714281</v>
      </c>
    </row>
    <row r="13" spans="1:12" x14ac:dyDescent="0.25">
      <c r="A13" s="4" t="s">
        <v>8</v>
      </c>
      <c r="B13" s="4">
        <f>B8-B4</f>
        <v>4</v>
      </c>
      <c r="C13" s="4">
        <f>_xlfn.PERCENTILE.INC(C2:C11,0.75)-_xlfn.PERCENTILE.INC(C2:C11,0.25)</f>
        <v>4.5</v>
      </c>
      <c r="J13" s="4" t="s">
        <v>25</v>
      </c>
      <c r="K13" s="4">
        <f>_xlfn.STDEV.S(K2:K9)</f>
        <v>25.562248950915322</v>
      </c>
      <c r="L13" s="4">
        <f>_xlfn.STDEV.S(L2:L9)</f>
        <v>23299.2949004287</v>
      </c>
    </row>
    <row r="14" spans="1:12" x14ac:dyDescent="0.25">
      <c r="A14" s="4" t="s">
        <v>24</v>
      </c>
      <c r="B14" s="4">
        <f>_xlfn.VAR.S(B2:B10)</f>
        <v>7.5</v>
      </c>
      <c r="C14" s="4">
        <f>_xlfn.VAR.S(C2:C11)</f>
        <v>29.166666666666668</v>
      </c>
      <c r="J14" s="4" t="s">
        <v>38</v>
      </c>
      <c r="K14" s="4">
        <f>K13/K11</f>
        <v>0.60146468119800756</v>
      </c>
      <c r="L14" s="4">
        <f>L13/L11</f>
        <v>0.62971067298455952</v>
      </c>
    </row>
    <row r="15" spans="1:12" x14ac:dyDescent="0.25">
      <c r="A15" s="4" t="s">
        <v>25</v>
      </c>
      <c r="B15" s="4">
        <f>_xlfn.STDEV.S(B2:B10)</f>
        <v>2.7386127875258306</v>
      </c>
      <c r="C15" s="4">
        <f>_xlfn.STDEV.S(C2:C11)</f>
        <v>5.4006172486732167</v>
      </c>
    </row>
  </sheetData>
  <mergeCells count="1">
    <mergeCell ref="B1:C1"/>
  </mergeCells>
  <pageMargins left="0.7" right="0.7" top="0.75" bottom="0.75" header="0.3" footer="0.3"/>
  <headerFooter>
    <oddHeader>&amp;C&amp;"Aptos"&amp;12&amp;K0000FF General access&amp;1#_x000D_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EE6D-7136-4C05-A069-97CEEF990358}">
  <dimension ref="A1:K22"/>
  <sheetViews>
    <sheetView workbookViewId="0">
      <selection activeCell="S33" sqref="S33"/>
    </sheetView>
  </sheetViews>
  <sheetFormatPr defaultRowHeight="15" x14ac:dyDescent="0.25"/>
  <cols>
    <col min="1" max="1" width="9.42578125" bestFit="1" customWidth="1"/>
    <col min="2" max="4" width="14.28515625" bestFit="1" customWidth="1"/>
    <col min="7" max="9" width="14.28515625" bestFit="1" customWidth="1"/>
  </cols>
  <sheetData>
    <row r="1" spans="1:11" x14ac:dyDescent="0.25">
      <c r="B1" t="s">
        <v>39</v>
      </c>
      <c r="C1" t="s">
        <v>40</v>
      </c>
      <c r="D1" t="s">
        <v>41</v>
      </c>
      <c r="G1" t="s">
        <v>39</v>
      </c>
      <c r="H1" t="s">
        <v>40</v>
      </c>
      <c r="I1" t="s">
        <v>41</v>
      </c>
    </row>
    <row r="2" spans="1:11" x14ac:dyDescent="0.25">
      <c r="A2" t="s">
        <v>42</v>
      </c>
      <c r="B2">
        <v>11.76</v>
      </c>
      <c r="C2">
        <v>15.6</v>
      </c>
      <c r="D2">
        <v>10</v>
      </c>
      <c r="G2">
        <v>7.67</v>
      </c>
      <c r="H2">
        <v>3.2</v>
      </c>
      <c r="I2">
        <v>2.5</v>
      </c>
      <c r="K2" t="s">
        <v>52</v>
      </c>
    </row>
    <row r="3" spans="1:11" x14ac:dyDescent="0.25">
      <c r="A3" t="s">
        <v>43</v>
      </c>
      <c r="B3">
        <v>9.35</v>
      </c>
      <c r="C3">
        <v>3.2</v>
      </c>
      <c r="D3">
        <v>2.5</v>
      </c>
      <c r="G3">
        <v>8.11</v>
      </c>
      <c r="H3">
        <v>4.5</v>
      </c>
      <c r="I3">
        <v>5</v>
      </c>
      <c r="K3" t="s">
        <v>53</v>
      </c>
    </row>
    <row r="4" spans="1:11" x14ac:dyDescent="0.25">
      <c r="A4" t="s">
        <v>44</v>
      </c>
      <c r="B4">
        <v>12.92</v>
      </c>
      <c r="C4">
        <v>10.199999999999999</v>
      </c>
      <c r="D4">
        <v>20</v>
      </c>
      <c r="G4">
        <v>9.35</v>
      </c>
      <c r="H4">
        <v>5.0999999999999996</v>
      </c>
      <c r="I4">
        <v>10</v>
      </c>
      <c r="K4" t="s">
        <v>54</v>
      </c>
    </row>
    <row r="5" spans="1:11" x14ac:dyDescent="0.25">
      <c r="A5" t="s">
        <v>45</v>
      </c>
      <c r="B5">
        <v>8.11</v>
      </c>
      <c r="C5">
        <v>25.3</v>
      </c>
      <c r="D5">
        <v>14</v>
      </c>
      <c r="G5">
        <v>10.23</v>
      </c>
      <c r="H5">
        <v>7.4</v>
      </c>
      <c r="I5">
        <v>12.5</v>
      </c>
    </row>
    <row r="6" spans="1:11" x14ac:dyDescent="0.25">
      <c r="A6" t="s">
        <v>46</v>
      </c>
      <c r="B6">
        <v>10.58</v>
      </c>
      <c r="C6">
        <v>20.100000000000001</v>
      </c>
      <c r="D6">
        <v>18.5</v>
      </c>
      <c r="G6">
        <v>10.58</v>
      </c>
      <c r="H6">
        <v>8</v>
      </c>
      <c r="I6">
        <v>14</v>
      </c>
    </row>
    <row r="7" spans="1:11" x14ac:dyDescent="0.25">
      <c r="A7" t="s">
        <v>47</v>
      </c>
      <c r="B7">
        <v>13.47</v>
      </c>
      <c r="C7">
        <v>4.5</v>
      </c>
      <c r="D7">
        <v>16</v>
      </c>
      <c r="G7">
        <v>11.76</v>
      </c>
      <c r="H7">
        <v>10.199999999999999</v>
      </c>
      <c r="I7">
        <v>15.5</v>
      </c>
    </row>
    <row r="8" spans="1:11" x14ac:dyDescent="0.25">
      <c r="A8" t="s">
        <v>48</v>
      </c>
      <c r="B8">
        <v>10.23</v>
      </c>
      <c r="C8">
        <v>8</v>
      </c>
      <c r="D8">
        <v>5</v>
      </c>
      <c r="G8">
        <v>11.88</v>
      </c>
      <c r="H8">
        <v>12.8</v>
      </c>
      <c r="I8">
        <v>16</v>
      </c>
    </row>
    <row r="9" spans="1:11" x14ac:dyDescent="0.25">
      <c r="A9" t="s">
        <v>49</v>
      </c>
      <c r="B9">
        <v>11.88</v>
      </c>
      <c r="C9">
        <v>12.8</v>
      </c>
      <c r="D9">
        <v>12.5</v>
      </c>
      <c r="G9">
        <v>12.92</v>
      </c>
      <c r="H9">
        <v>15.6</v>
      </c>
      <c r="I9">
        <v>17.2</v>
      </c>
    </row>
    <row r="10" spans="1:11" x14ac:dyDescent="0.25">
      <c r="A10" t="s">
        <v>50</v>
      </c>
      <c r="B10">
        <v>7.67</v>
      </c>
      <c r="C10">
        <v>5.0999999999999996</v>
      </c>
      <c r="D10">
        <v>17.2</v>
      </c>
      <c r="G10">
        <v>13.47</v>
      </c>
      <c r="H10">
        <v>20.100000000000001</v>
      </c>
      <c r="I10">
        <v>18.5</v>
      </c>
    </row>
    <row r="11" spans="1:11" x14ac:dyDescent="0.25">
      <c r="A11" t="s">
        <v>51</v>
      </c>
      <c r="B11">
        <v>14.51</v>
      </c>
      <c r="C11">
        <v>7.4</v>
      </c>
      <c r="D11">
        <v>15.5</v>
      </c>
      <c r="G11">
        <v>14.51</v>
      </c>
      <c r="H11">
        <v>25.3</v>
      </c>
      <c r="I11">
        <v>20</v>
      </c>
    </row>
    <row r="12" spans="1:11" x14ac:dyDescent="0.25">
      <c r="B12" s="3">
        <f>SKEW(B2:B11)</f>
        <v>-7.4269596168983959E-2</v>
      </c>
      <c r="C12" s="3">
        <f t="shared" ref="C12:D12" si="0">SKEW(C2:C11)</f>
        <v>0.89338677575702297</v>
      </c>
      <c r="D12" s="3">
        <f t="shared" si="0"/>
        <v>-0.86410120642215471</v>
      </c>
    </row>
    <row r="13" spans="1:11" x14ac:dyDescent="0.25">
      <c r="G13">
        <f>_xlfn.NORM.DIST(G2,AVERAGE($G$2:$G$11),_xlfn.STDEV.P($G$2:$G$11),FALSE)</f>
        <v>5.4128078507442799E-2</v>
      </c>
      <c r="H13">
        <f>_xlfn.NORM.DIST(H2,AVERAGE($H$2:$H$11),_xlfn.STDEV.P($H$2:$H$11),FALSE)</f>
        <v>2.9375187347109831E-2</v>
      </c>
      <c r="I13">
        <f>_xlfn.NORM.DIST(I2,AVERAGE($I$2:$I$11),_xlfn.STDEV.P($I$2:$I$11),FALSE)</f>
        <v>1.0936847535647663E-2</v>
      </c>
    </row>
    <row r="14" spans="1:11" x14ac:dyDescent="0.25">
      <c r="G14">
        <f t="shared" ref="G14:G22" si="1">_xlfn.NORM.DIST(G3,AVERAGE($G$2:$G$11),_xlfn.STDEV.P($G$2:$G$11),FALSE)</f>
        <v>7.3040768171732329E-2</v>
      </c>
      <c r="H14">
        <f t="shared" ref="H14:H22" si="2">_xlfn.NORM.DIST(H3,AVERAGE($H$2:$H$11),_xlfn.STDEV.P($H$2:$H$11),FALSE)</f>
        <v>3.5990673962782098E-2</v>
      </c>
      <c r="I14">
        <f t="shared" ref="I14:I22" si="3">_xlfn.NORM.DIST(I3,AVERAGE($I$2:$I$11),_xlfn.STDEV.P($I$2:$I$11),FALSE)</f>
        <v>2.4099686804278927E-2</v>
      </c>
    </row>
    <row r="15" spans="1:11" x14ac:dyDescent="0.25">
      <c r="G15">
        <f t="shared" si="1"/>
        <v>0.13576090341598934</v>
      </c>
      <c r="H15">
        <f t="shared" si="2"/>
        <v>3.9052978671845533E-2</v>
      </c>
      <c r="I15">
        <f t="shared" si="3"/>
        <v>6.2173885885801437E-2</v>
      </c>
    </row>
    <row r="16" spans="1:11" x14ac:dyDescent="0.25">
      <c r="G16">
        <f t="shared" si="1"/>
        <v>0.17236945465112943</v>
      </c>
      <c r="H16">
        <f t="shared" si="2"/>
        <v>4.976177717410301E-2</v>
      </c>
      <c r="I16">
        <f t="shared" si="3"/>
        <v>7.2792290333944562E-2</v>
      </c>
    </row>
    <row r="17" spans="7:9" x14ac:dyDescent="0.25">
      <c r="G17">
        <f t="shared" si="1"/>
        <v>0.18094164557685058</v>
      </c>
      <c r="H17">
        <f t="shared" si="2"/>
        <v>5.2040375276449377E-2</v>
      </c>
      <c r="I17">
        <f t="shared" si="3"/>
        <v>7.2315119597356647E-2</v>
      </c>
    </row>
    <row r="18" spans="7:9" x14ac:dyDescent="0.25">
      <c r="G18">
        <f t="shared" si="1"/>
        <v>0.17541034924449489</v>
      </c>
      <c r="H18">
        <f t="shared" si="2"/>
        <v>5.7448731021939516E-2</v>
      </c>
      <c r="I18">
        <f t="shared" si="3"/>
        <v>6.6591041769884313E-2</v>
      </c>
    </row>
    <row r="19" spans="7:9" x14ac:dyDescent="0.25">
      <c r="G19">
        <f t="shared" si="1"/>
        <v>0.17194063736108289</v>
      </c>
      <c r="H19">
        <f t="shared" si="2"/>
        <v>5.6568930357665609E-2</v>
      </c>
      <c r="I19">
        <f t="shared" si="3"/>
        <v>6.3702174804572728E-2</v>
      </c>
    </row>
    <row r="20" spans="7:9" x14ac:dyDescent="0.25">
      <c r="G20">
        <f t="shared" si="1"/>
        <v>0.12696522822491374</v>
      </c>
      <c r="H20">
        <f t="shared" si="2"/>
        <v>4.7397704933314591E-2</v>
      </c>
      <c r="I20">
        <f t="shared" si="3"/>
        <v>5.5333230039565411E-2</v>
      </c>
    </row>
    <row r="21" spans="7:9" x14ac:dyDescent="0.25">
      <c r="G21">
        <f t="shared" si="1"/>
        <v>9.8420632114279247E-2</v>
      </c>
      <c r="H21">
        <f t="shared" si="2"/>
        <v>2.5181152347535155E-2</v>
      </c>
      <c r="I21">
        <f t="shared" si="3"/>
        <v>4.4969508134991051E-2</v>
      </c>
    </row>
    <row r="22" spans="7:9" x14ac:dyDescent="0.25">
      <c r="G22">
        <f t="shared" si="1"/>
        <v>5.0876345502922624E-2</v>
      </c>
      <c r="H22">
        <f t="shared" si="2"/>
        <v>7.1035068170210228E-3</v>
      </c>
      <c r="I22">
        <f t="shared" si="3"/>
        <v>3.2978717708028842E-2</v>
      </c>
    </row>
  </sheetData>
  <sortState xmlns:xlrd2="http://schemas.microsoft.com/office/spreadsheetml/2017/richdata2" ref="I2:I11">
    <sortCondition ref="I2:I11"/>
  </sortState>
  <phoneticPr fontId="2" type="noConversion"/>
  <pageMargins left="0.7" right="0.7" top="0.75" bottom="0.75" header="0.3" footer="0.3"/>
  <headerFooter>
    <oddHeader>&amp;C&amp;"Aptos"&amp;12&amp;K0000FF General access&amp;1#_x000D_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7296-9AB4-4326-9E3F-C17A1B339D66}">
  <dimension ref="A1:H31"/>
  <sheetViews>
    <sheetView workbookViewId="0">
      <selection activeCell="C12" sqref="C12"/>
    </sheetView>
  </sheetViews>
  <sheetFormatPr defaultRowHeight="15" x14ac:dyDescent="0.25"/>
  <cols>
    <col min="1" max="1" width="9.42578125" bestFit="1" customWidth="1"/>
    <col min="2" max="4" width="14.28515625" bestFit="1" customWidth="1"/>
  </cols>
  <sheetData>
    <row r="1" spans="1:6" x14ac:dyDescent="0.25">
      <c r="B1" t="s">
        <v>39</v>
      </c>
      <c r="C1" t="s">
        <v>40</v>
      </c>
      <c r="D1" t="s">
        <v>41</v>
      </c>
      <c r="F1" t="s">
        <v>55</v>
      </c>
    </row>
    <row r="2" spans="1:6" x14ac:dyDescent="0.25">
      <c r="A2" t="s">
        <v>42</v>
      </c>
      <c r="B2">
        <v>7.5</v>
      </c>
      <c r="C2">
        <v>0.5</v>
      </c>
      <c r="D2">
        <v>1</v>
      </c>
      <c r="F2" t="s">
        <v>56</v>
      </c>
    </row>
    <row r="3" spans="1:6" x14ac:dyDescent="0.25">
      <c r="A3" t="s">
        <v>43</v>
      </c>
      <c r="B3">
        <v>9.1</v>
      </c>
      <c r="C3">
        <v>5.0999999999999996</v>
      </c>
      <c r="D3">
        <v>10</v>
      </c>
      <c r="F3" t="s">
        <v>57</v>
      </c>
    </row>
    <row r="4" spans="1:6" x14ac:dyDescent="0.25">
      <c r="A4" t="s">
        <v>44</v>
      </c>
      <c r="B4">
        <v>9.5</v>
      </c>
      <c r="C4">
        <v>5.2</v>
      </c>
      <c r="D4">
        <v>20</v>
      </c>
    </row>
    <row r="5" spans="1:6" x14ac:dyDescent="0.25">
      <c r="A5" t="s">
        <v>45</v>
      </c>
      <c r="B5">
        <v>10</v>
      </c>
      <c r="C5">
        <v>5.3</v>
      </c>
      <c r="D5">
        <v>30</v>
      </c>
    </row>
    <row r="6" spans="1:6" x14ac:dyDescent="0.25">
      <c r="A6" t="s">
        <v>46</v>
      </c>
      <c r="B6">
        <v>10.199999999999999</v>
      </c>
      <c r="C6">
        <v>5.4</v>
      </c>
      <c r="D6">
        <v>40</v>
      </c>
    </row>
    <row r="7" spans="1:6" x14ac:dyDescent="0.25">
      <c r="A7" t="s">
        <v>47</v>
      </c>
      <c r="B7">
        <v>10.8</v>
      </c>
      <c r="C7">
        <v>5.5</v>
      </c>
      <c r="D7">
        <v>50</v>
      </c>
    </row>
    <row r="8" spans="1:6" x14ac:dyDescent="0.25">
      <c r="A8" t="s">
        <v>48</v>
      </c>
      <c r="B8">
        <v>11.3</v>
      </c>
      <c r="C8">
        <v>5.6</v>
      </c>
      <c r="D8">
        <v>60</v>
      </c>
    </row>
    <row r="9" spans="1:6" x14ac:dyDescent="0.25">
      <c r="A9" t="s">
        <v>49</v>
      </c>
      <c r="B9">
        <v>11.8</v>
      </c>
      <c r="C9">
        <v>5.7</v>
      </c>
      <c r="D9">
        <v>70</v>
      </c>
    </row>
    <row r="10" spans="1:6" x14ac:dyDescent="0.25">
      <c r="A10" t="s">
        <v>50</v>
      </c>
      <c r="B10">
        <v>12.1</v>
      </c>
      <c r="C10">
        <v>15</v>
      </c>
      <c r="D10">
        <v>80</v>
      </c>
    </row>
    <row r="11" spans="1:6" x14ac:dyDescent="0.25">
      <c r="A11" t="s">
        <v>51</v>
      </c>
      <c r="B11">
        <v>12.35</v>
      </c>
      <c r="C11">
        <v>15.1</v>
      </c>
      <c r="D11">
        <v>90</v>
      </c>
    </row>
    <row r="12" spans="1:6" x14ac:dyDescent="0.25">
      <c r="B12" s="3">
        <f>KURT(B2:B11)</f>
        <v>1.9379862048110041E-3</v>
      </c>
      <c r="C12" s="3">
        <f>KURT(C2:C11)</f>
        <v>0.93006672854566919</v>
      </c>
      <c r="D12" s="3">
        <f>KURT(D2:D11)</f>
        <v>-1.2251540249739654</v>
      </c>
    </row>
    <row r="13" spans="1:6" x14ac:dyDescent="0.25">
      <c r="B13" s="3"/>
      <c r="C13" s="3"/>
      <c r="D13" s="3"/>
    </row>
    <row r="14" spans="1:6" x14ac:dyDescent="0.25">
      <c r="B14">
        <v>0</v>
      </c>
      <c r="C14">
        <v>0</v>
      </c>
    </row>
    <row r="15" spans="1:6" x14ac:dyDescent="0.25">
      <c r="B15">
        <v>9</v>
      </c>
      <c r="C15" cm="1">
        <f t="array" ref="C15:C18">FREQUENCY(B2:B11,B15:B18)</f>
        <v>1</v>
      </c>
    </row>
    <row r="16" spans="1:6" x14ac:dyDescent="0.25">
      <c r="B16">
        <v>11</v>
      </c>
      <c r="C16">
        <v>5</v>
      </c>
    </row>
    <row r="17" spans="1:8" x14ac:dyDescent="0.25">
      <c r="B17">
        <v>13</v>
      </c>
      <c r="C17">
        <v>4</v>
      </c>
    </row>
    <row r="18" spans="1:8" x14ac:dyDescent="0.25">
      <c r="B18" t="s">
        <v>58</v>
      </c>
      <c r="C18">
        <v>0</v>
      </c>
    </row>
    <row r="20" spans="1:8" x14ac:dyDescent="0.25">
      <c r="B20">
        <v>0</v>
      </c>
      <c r="C20">
        <v>0</v>
      </c>
    </row>
    <row r="21" spans="1:8" x14ac:dyDescent="0.25">
      <c r="B21">
        <v>1</v>
      </c>
      <c r="C21" cm="1">
        <f t="array" ref="C21:C24">FREQUENCY(C2:C11,B21:B23)</f>
        <v>1</v>
      </c>
    </row>
    <row r="22" spans="1:8" x14ac:dyDescent="0.25">
      <c r="B22">
        <v>6</v>
      </c>
      <c r="C22">
        <v>7</v>
      </c>
    </row>
    <row r="23" spans="1:8" x14ac:dyDescent="0.25">
      <c r="B23">
        <v>16</v>
      </c>
      <c r="C23">
        <v>2</v>
      </c>
    </row>
    <row r="24" spans="1:8" x14ac:dyDescent="0.25">
      <c r="B24" t="s">
        <v>58</v>
      </c>
      <c r="C24">
        <v>0</v>
      </c>
    </row>
    <row r="26" spans="1:8" x14ac:dyDescent="0.25">
      <c r="B26">
        <v>0</v>
      </c>
      <c r="C26">
        <v>0</v>
      </c>
    </row>
    <row r="27" spans="1:8" x14ac:dyDescent="0.25">
      <c r="B27">
        <v>10</v>
      </c>
      <c r="C27" cm="1">
        <f t="array" ref="C27:C30">FREQUENCY(D2:D11,B27:B30)</f>
        <v>2</v>
      </c>
    </row>
    <row r="28" spans="1:8" x14ac:dyDescent="0.25">
      <c r="B28">
        <v>50</v>
      </c>
      <c r="C28">
        <v>4</v>
      </c>
    </row>
    <row r="29" spans="1:8" x14ac:dyDescent="0.25">
      <c r="B29">
        <v>100</v>
      </c>
      <c r="C29">
        <v>4</v>
      </c>
    </row>
    <row r="30" spans="1:8" x14ac:dyDescent="0.25">
      <c r="A30" s="3"/>
      <c r="C30">
        <v>0</v>
      </c>
      <c r="G30" s="3"/>
      <c r="H30" s="3"/>
    </row>
    <row r="31" spans="1:8" x14ac:dyDescent="0.25">
      <c r="B31" t="s">
        <v>59</v>
      </c>
    </row>
  </sheetData>
  <sortState xmlns:xlrd2="http://schemas.microsoft.com/office/spreadsheetml/2017/richdata2" ref="B2:B11">
    <sortCondition ref="B2:B11"/>
  </sortState>
  <pageMargins left="0.7" right="0.7" top="0.75" bottom="0.75" header="0.3" footer="0.3"/>
  <headerFooter>
    <oddHeader>&amp;C&amp;"Aptos"&amp;12&amp;K0000FF General access&amp;1#_x000D_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6DFC-8325-411E-8EFF-D72DF89CC706}">
  <dimension ref="A1:V13"/>
  <sheetViews>
    <sheetView workbookViewId="0">
      <selection activeCell="AA11" sqref="AA11"/>
    </sheetView>
  </sheetViews>
  <sheetFormatPr defaultColWidth="8.5703125" defaultRowHeight="15" x14ac:dyDescent="0.25"/>
  <cols>
    <col min="21" max="21" width="8.5703125" customWidth="1"/>
  </cols>
  <sheetData>
    <row r="1" spans="1:22" x14ac:dyDescent="0.25">
      <c r="A1" s="7" t="s">
        <v>60</v>
      </c>
      <c r="B1" s="7" t="s">
        <v>61</v>
      </c>
      <c r="C1" s="7"/>
      <c r="D1" s="7" t="s">
        <v>60</v>
      </c>
      <c r="E1" s="7" t="s">
        <v>61</v>
      </c>
      <c r="F1" s="7"/>
      <c r="G1" s="7" t="s">
        <v>60</v>
      </c>
      <c r="H1" s="7" t="s">
        <v>61</v>
      </c>
      <c r="I1" s="7"/>
      <c r="J1" s="7" t="s">
        <v>60</v>
      </c>
      <c r="K1" s="7" t="s">
        <v>61</v>
      </c>
      <c r="L1" s="7"/>
      <c r="M1" s="7" t="s">
        <v>60</v>
      </c>
      <c r="N1" s="7" t="s">
        <v>61</v>
      </c>
      <c r="O1" s="7"/>
      <c r="P1" s="7" t="s">
        <v>60</v>
      </c>
      <c r="Q1" s="7" t="s">
        <v>61</v>
      </c>
      <c r="R1" s="7"/>
      <c r="S1" s="7" t="s">
        <v>62</v>
      </c>
      <c r="T1" s="7" t="s">
        <v>63</v>
      </c>
      <c r="V1" t="s">
        <v>73</v>
      </c>
    </row>
    <row r="2" spans="1:22" x14ac:dyDescent="0.25">
      <c r="A2" s="7">
        <v>1</v>
      </c>
      <c r="B2" s="7">
        <v>2</v>
      </c>
      <c r="C2" s="7"/>
      <c r="D2" s="7">
        <v>1</v>
      </c>
      <c r="E2" s="7">
        <v>20</v>
      </c>
      <c r="F2" s="7"/>
      <c r="G2" s="7">
        <v>1</v>
      </c>
      <c r="H2" s="7">
        <v>1.5</v>
      </c>
      <c r="I2" s="7"/>
      <c r="J2" s="7">
        <v>1</v>
      </c>
      <c r="K2" s="7">
        <v>10</v>
      </c>
      <c r="L2" s="7"/>
      <c r="M2" s="7">
        <v>1</v>
      </c>
      <c r="N2" s="7">
        <v>6</v>
      </c>
      <c r="O2" s="7"/>
      <c r="P2" s="7">
        <v>1</v>
      </c>
      <c r="Q2" s="7">
        <v>7</v>
      </c>
      <c r="R2" s="7"/>
      <c r="S2" s="7">
        <v>1</v>
      </c>
      <c r="T2" s="7">
        <v>6</v>
      </c>
      <c r="V2" t="s">
        <v>72</v>
      </c>
    </row>
    <row r="3" spans="1:22" x14ac:dyDescent="0.25">
      <c r="A3" s="7">
        <v>2</v>
      </c>
      <c r="B3" s="7">
        <v>4</v>
      </c>
      <c r="C3" s="7"/>
      <c r="D3" s="7">
        <v>2</v>
      </c>
      <c r="E3" s="7">
        <v>18</v>
      </c>
      <c r="F3" s="7"/>
      <c r="G3" s="7">
        <v>2</v>
      </c>
      <c r="H3" s="7">
        <v>2.5</v>
      </c>
      <c r="I3" s="7"/>
      <c r="J3" s="7">
        <v>2</v>
      </c>
      <c r="K3" s="7">
        <v>9</v>
      </c>
      <c r="L3" s="7"/>
      <c r="M3" s="7">
        <v>2</v>
      </c>
      <c r="N3" s="7">
        <v>5.5</v>
      </c>
      <c r="O3" s="7"/>
      <c r="P3" s="7">
        <v>2</v>
      </c>
      <c r="Q3" s="7">
        <v>1</v>
      </c>
      <c r="R3" s="7"/>
      <c r="S3" s="7">
        <v>2</v>
      </c>
      <c r="T3" s="7">
        <v>5.5</v>
      </c>
      <c r="V3" t="s">
        <v>74</v>
      </c>
    </row>
    <row r="4" spans="1:22" x14ac:dyDescent="0.25">
      <c r="A4" s="7">
        <v>3</v>
      </c>
      <c r="B4" s="7">
        <v>6</v>
      </c>
      <c r="C4" s="7"/>
      <c r="D4" s="7">
        <v>3</v>
      </c>
      <c r="E4" s="7">
        <v>16</v>
      </c>
      <c r="F4" s="7"/>
      <c r="G4" s="7">
        <v>3</v>
      </c>
      <c r="H4" s="7">
        <v>3.5</v>
      </c>
      <c r="I4" s="7"/>
      <c r="J4" s="7">
        <v>3</v>
      </c>
      <c r="K4" s="7">
        <v>7</v>
      </c>
      <c r="L4" s="7"/>
      <c r="M4" s="7">
        <v>3</v>
      </c>
      <c r="N4" s="7">
        <v>5</v>
      </c>
      <c r="O4" s="7"/>
      <c r="P4" s="7">
        <v>3</v>
      </c>
      <c r="Q4" s="7">
        <v>3.5</v>
      </c>
      <c r="R4" s="7"/>
      <c r="S4" s="7">
        <v>3</v>
      </c>
      <c r="T4" s="7">
        <v>5</v>
      </c>
      <c r="V4" t="s">
        <v>75</v>
      </c>
    </row>
    <row r="5" spans="1:22" x14ac:dyDescent="0.25">
      <c r="A5" s="7">
        <v>4</v>
      </c>
      <c r="B5" s="7">
        <v>8</v>
      </c>
      <c r="C5" s="7"/>
      <c r="D5" s="7">
        <v>4</v>
      </c>
      <c r="E5" s="7">
        <v>14</v>
      </c>
      <c r="F5" s="7"/>
      <c r="G5" s="7">
        <v>4</v>
      </c>
      <c r="H5" s="7">
        <v>3.8</v>
      </c>
      <c r="I5" s="7"/>
      <c r="J5" s="7">
        <v>4</v>
      </c>
      <c r="K5" s="7">
        <v>5</v>
      </c>
      <c r="L5" s="7"/>
      <c r="M5" s="7">
        <v>4</v>
      </c>
      <c r="N5" s="7">
        <v>4.8</v>
      </c>
      <c r="O5" s="7"/>
      <c r="P5" s="7">
        <v>4</v>
      </c>
      <c r="Q5" s="7">
        <v>3</v>
      </c>
      <c r="R5" s="7"/>
      <c r="S5" s="7">
        <v>4</v>
      </c>
      <c r="T5" s="7">
        <v>4.8</v>
      </c>
    </row>
    <row r="6" spans="1:22" x14ac:dyDescent="0.25">
      <c r="A6" s="7">
        <v>5</v>
      </c>
      <c r="B6" s="7">
        <v>10</v>
      </c>
      <c r="C6" s="7"/>
      <c r="D6" s="7">
        <v>5</v>
      </c>
      <c r="E6" s="7">
        <v>12</v>
      </c>
      <c r="F6" s="7"/>
      <c r="G6" s="7">
        <v>5</v>
      </c>
      <c r="H6" s="7">
        <v>4.5</v>
      </c>
      <c r="I6" s="7"/>
      <c r="J6" s="7">
        <v>5</v>
      </c>
      <c r="K6" s="7">
        <v>3</v>
      </c>
      <c r="L6" s="7"/>
      <c r="M6" s="7">
        <v>5</v>
      </c>
      <c r="N6" s="7">
        <v>3.5</v>
      </c>
      <c r="O6" s="7"/>
      <c r="P6" s="7">
        <v>5</v>
      </c>
      <c r="Q6" s="7">
        <v>2</v>
      </c>
      <c r="R6" s="7"/>
      <c r="S6" s="7">
        <v>5</v>
      </c>
      <c r="T6" s="7">
        <v>3.5</v>
      </c>
    </row>
    <row r="7" spans="1:22" x14ac:dyDescent="0.25">
      <c r="A7" s="7">
        <v>6</v>
      </c>
      <c r="B7" s="7">
        <v>12</v>
      </c>
      <c r="C7" s="7"/>
      <c r="D7" s="7">
        <v>6</v>
      </c>
      <c r="E7" s="7">
        <v>10</v>
      </c>
      <c r="F7" s="7"/>
      <c r="G7" s="7">
        <v>6</v>
      </c>
      <c r="H7" s="7">
        <v>6</v>
      </c>
      <c r="I7" s="7"/>
      <c r="J7" s="7">
        <v>6</v>
      </c>
      <c r="K7" s="7">
        <v>2</v>
      </c>
      <c r="L7" s="7"/>
      <c r="M7" s="7">
        <v>6</v>
      </c>
      <c r="N7" s="7">
        <v>4</v>
      </c>
      <c r="O7" s="7"/>
      <c r="P7" s="7">
        <v>6</v>
      </c>
      <c r="Q7" s="7">
        <v>3</v>
      </c>
      <c r="R7" s="7"/>
      <c r="S7" s="7">
        <v>6</v>
      </c>
      <c r="T7" s="7">
        <v>4</v>
      </c>
    </row>
    <row r="8" spans="1:22" x14ac:dyDescent="0.25">
      <c r="A8" s="7">
        <v>7</v>
      </c>
      <c r="B8" s="7">
        <v>14</v>
      </c>
      <c r="C8" s="7"/>
      <c r="D8" s="7">
        <v>7</v>
      </c>
      <c r="E8" s="7">
        <v>8</v>
      </c>
      <c r="F8" s="7"/>
      <c r="G8" s="7">
        <v>7</v>
      </c>
      <c r="H8" s="7">
        <v>7.1</v>
      </c>
      <c r="I8" s="7"/>
      <c r="J8" s="7">
        <v>7</v>
      </c>
      <c r="K8" s="7">
        <v>1</v>
      </c>
      <c r="L8" s="7"/>
      <c r="M8" s="7">
        <v>7</v>
      </c>
      <c r="N8" s="7">
        <v>4.5</v>
      </c>
      <c r="O8" s="7"/>
      <c r="P8" s="7">
        <v>7</v>
      </c>
      <c r="Q8" s="7">
        <v>2</v>
      </c>
      <c r="R8" s="7"/>
      <c r="S8" s="7">
        <v>7</v>
      </c>
      <c r="T8" s="7">
        <v>4.5</v>
      </c>
    </row>
    <row r="9" spans="1:22" x14ac:dyDescent="0.25">
      <c r="A9" s="7">
        <v>8</v>
      </c>
      <c r="B9" s="7">
        <v>16</v>
      </c>
      <c r="C9" s="7"/>
      <c r="D9" s="7">
        <v>8</v>
      </c>
      <c r="E9" s="7">
        <v>6</v>
      </c>
      <c r="F9" s="7"/>
      <c r="G9" s="7">
        <v>8</v>
      </c>
      <c r="H9" s="7">
        <v>8</v>
      </c>
      <c r="I9" s="7"/>
      <c r="J9" s="7">
        <v>8</v>
      </c>
      <c r="K9" s="7">
        <v>0.5</v>
      </c>
      <c r="L9" s="7"/>
      <c r="M9" s="7">
        <v>8</v>
      </c>
      <c r="N9" s="7">
        <v>5</v>
      </c>
      <c r="O9" s="7"/>
      <c r="P9" s="7">
        <v>8</v>
      </c>
      <c r="Q9" s="7">
        <v>3</v>
      </c>
      <c r="R9" s="7"/>
      <c r="S9" s="7">
        <v>8</v>
      </c>
      <c r="T9" s="7">
        <v>5</v>
      </c>
    </row>
    <row r="10" spans="1:22" x14ac:dyDescent="0.25">
      <c r="A10" s="7">
        <v>9</v>
      </c>
      <c r="B10" s="7">
        <v>18</v>
      </c>
      <c r="C10" s="7"/>
      <c r="D10" s="7">
        <v>9</v>
      </c>
      <c r="E10" s="7">
        <v>4</v>
      </c>
      <c r="F10" s="7"/>
      <c r="G10" s="7">
        <v>9</v>
      </c>
      <c r="H10" s="7">
        <v>9.5</v>
      </c>
      <c r="I10" s="7"/>
      <c r="J10" s="7">
        <v>9</v>
      </c>
      <c r="K10" s="7">
        <v>4</v>
      </c>
      <c r="L10" s="7"/>
      <c r="M10" s="7">
        <v>9</v>
      </c>
      <c r="N10" s="7">
        <v>5.5</v>
      </c>
      <c r="O10" s="7"/>
      <c r="P10" s="7">
        <v>9</v>
      </c>
      <c r="Q10" s="7">
        <v>2.5</v>
      </c>
      <c r="R10" s="7"/>
      <c r="S10" s="7">
        <v>9</v>
      </c>
      <c r="T10" s="7">
        <v>5.5</v>
      </c>
    </row>
    <row r="11" spans="1:22" x14ac:dyDescent="0.25">
      <c r="A11" s="7">
        <v>10</v>
      </c>
      <c r="B11" s="7">
        <v>20</v>
      </c>
      <c r="C11" s="7"/>
      <c r="D11" s="7">
        <v>10</v>
      </c>
      <c r="E11" s="7">
        <v>2</v>
      </c>
      <c r="F11" s="7"/>
      <c r="G11" s="7">
        <v>10</v>
      </c>
      <c r="H11" s="7">
        <v>10.5</v>
      </c>
      <c r="I11" s="7"/>
      <c r="J11" s="7">
        <v>10</v>
      </c>
      <c r="K11" s="7">
        <v>0</v>
      </c>
      <c r="L11" s="7"/>
      <c r="M11" s="7">
        <v>10</v>
      </c>
      <c r="N11" s="7">
        <v>10</v>
      </c>
      <c r="O11" s="7"/>
      <c r="P11" s="7">
        <v>10</v>
      </c>
      <c r="Q11" s="7">
        <v>3</v>
      </c>
      <c r="R11" s="7"/>
      <c r="S11" s="7">
        <v>10</v>
      </c>
      <c r="T11" s="7">
        <v>6.5</v>
      </c>
    </row>
    <row r="12" spans="1:22" s="3" customFormat="1" x14ac:dyDescent="0.25">
      <c r="A12" s="3" t="s">
        <v>64</v>
      </c>
      <c r="B12" s="3">
        <f>CORREL(A2:A11,B2:B11)</f>
        <v>1</v>
      </c>
      <c r="E12" s="3">
        <f t="shared" ref="E12:T12" si="0">CORREL(D2:D11,E2:E11)</f>
        <v>-1</v>
      </c>
      <c r="H12" s="3">
        <f t="shared" si="0"/>
        <v>0.99279796847345703</v>
      </c>
      <c r="K12" s="3">
        <f t="shared" si="0"/>
        <v>-0.88283624630731961</v>
      </c>
      <c r="N12" s="3">
        <f t="shared" si="0"/>
        <v>0.36647165024377781</v>
      </c>
      <c r="Q12" s="3">
        <f t="shared" si="0"/>
        <v>-0.3481553119113957</v>
      </c>
      <c r="T12" s="3">
        <f t="shared" si="0"/>
        <v>8.364334091558763E-2</v>
      </c>
    </row>
    <row r="13" spans="1:22" s="3" customFormat="1" x14ac:dyDescent="0.25">
      <c r="A13" s="3" t="s">
        <v>65</v>
      </c>
      <c r="D13" s="3" t="s">
        <v>66</v>
      </c>
      <c r="G13" s="3" t="s">
        <v>67</v>
      </c>
      <c r="J13" s="3" t="s">
        <v>68</v>
      </c>
      <c r="M13" s="3" t="s">
        <v>69</v>
      </c>
      <c r="P13" s="3" t="s">
        <v>70</v>
      </c>
      <c r="T13" s="3" t="s">
        <v>71</v>
      </c>
    </row>
  </sheetData>
  <pageMargins left="0.7" right="0.7" top="0.75" bottom="0.75" header="0.3" footer="0.3"/>
  <headerFooter>
    <oddHeader>&amp;C&amp;"Aptos"&amp;12&amp;K0000FF General access&amp;1#_x000D_</oddHeader>
  </headerFooter>
  <drawing r:id="rId1"/>
</worksheet>
</file>

<file path=docMetadata/LabelInfo.xml><?xml version="1.0" encoding="utf-8"?>
<clbl:labelList xmlns:clbl="http://schemas.microsoft.com/office/2020/mipLabelMetadata">
  <clbl:label id="{969fc6c2-57e3-4c4e-935f-27f08787152f}" enabled="1" method="Standard" siteId="{526b8ab1-b977-4460-8087-39fd2ef885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Location</vt:lpstr>
      <vt:lpstr>Dispersion</vt:lpstr>
      <vt:lpstr>Skewness</vt:lpstr>
      <vt:lpstr>Kurtosis</vt:lpstr>
      <vt:lpstr>Association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Yousra Ayman</dc:creator>
  <cp:lastModifiedBy>Mohammed Atef</cp:lastModifiedBy>
  <dcterms:created xsi:type="dcterms:W3CDTF">2024-11-01T13:07:43Z</dcterms:created>
  <dcterms:modified xsi:type="dcterms:W3CDTF">2026-10-29T19:29:54Z</dcterms:modified>
</cp:coreProperties>
</file>